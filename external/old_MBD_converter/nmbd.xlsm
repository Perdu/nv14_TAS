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75" windowWidth="22980" windowHeight="9525" activeTab="1"/>
  </bookViews>
  <sheets>
    <sheet name="Template" sheetId="1" r:id="rId1"/>
    <sheet name="77-0" sheetId="4" r:id="rId2"/>
    <sheet name="95-2" sheetId="5" r:id="rId3"/>
  </sheets>
  <calcPr calcId="114210"/>
</workbook>
</file>

<file path=xl/calcChain.xml><?xml version="1.0" encoding="utf-8"?>
<calcChain xmlns="http://schemas.openxmlformats.org/spreadsheetml/2006/main">
  <c r="S30" i="5"/>
  <c r="R30"/>
  <c r="Q30"/>
  <c r="P30"/>
  <c r="O30"/>
  <c r="N30"/>
  <c r="M30"/>
  <c r="J30"/>
  <c r="I30"/>
  <c r="H30"/>
  <c r="G30"/>
  <c r="F30"/>
  <c r="E30"/>
  <c r="J29"/>
  <c r="I29"/>
  <c r="H29"/>
  <c r="G29"/>
  <c r="F29"/>
  <c r="E29"/>
  <c r="S28"/>
  <c r="R28"/>
  <c r="Q28"/>
  <c r="P28"/>
  <c r="O28"/>
  <c r="N28"/>
  <c r="M28"/>
  <c r="J28"/>
  <c r="I28"/>
  <c r="H28"/>
  <c r="G28"/>
  <c r="F28"/>
  <c r="E28"/>
  <c r="J27"/>
  <c r="I27"/>
  <c r="H27"/>
  <c r="G27"/>
  <c r="F27"/>
  <c r="E27"/>
  <c r="T30"/>
  <c r="T28"/>
  <c r="S30" i="4"/>
  <c r="R30"/>
  <c r="Q30"/>
  <c r="P30"/>
  <c r="O30"/>
  <c r="N30"/>
  <c r="M30"/>
  <c r="J30"/>
  <c r="I30"/>
  <c r="H30"/>
  <c r="G30"/>
  <c r="F30"/>
  <c r="E30"/>
  <c r="J29"/>
  <c r="I29"/>
  <c r="H29"/>
  <c r="G29"/>
  <c r="F29"/>
  <c r="E29"/>
  <c r="S28"/>
  <c r="R28"/>
  <c r="Q28"/>
  <c r="P28"/>
  <c r="O28"/>
  <c r="N28"/>
  <c r="M28"/>
  <c r="J28"/>
  <c r="I28"/>
  <c r="H28"/>
  <c r="G28"/>
  <c r="F28"/>
  <c r="E28"/>
  <c r="J27"/>
  <c r="I27"/>
  <c r="H27"/>
  <c r="G27"/>
  <c r="F27"/>
  <c r="E27"/>
  <c r="M28" i="1"/>
  <c r="N28"/>
  <c r="O28"/>
  <c r="P28"/>
  <c r="Q28"/>
  <c r="R28"/>
  <c r="S28"/>
  <c r="T31" i="5"/>
  <c r="T30" i="4"/>
  <c r="T28"/>
  <c r="T31"/>
  <c r="T28" i="1"/>
  <c r="R30"/>
  <c r="P30"/>
  <c r="S30"/>
  <c r="J29"/>
  <c r="N30"/>
  <c r="O30"/>
  <c r="Q30"/>
  <c r="M30"/>
  <c r="T30"/>
  <c r="E28"/>
  <c r="F28"/>
  <c r="G28"/>
  <c r="H28"/>
  <c r="I28"/>
  <c r="J28"/>
  <c r="E29"/>
  <c r="F29"/>
  <c r="G29"/>
  <c r="H29"/>
  <c r="I29"/>
  <c r="E30"/>
  <c r="F30"/>
  <c r="G30"/>
  <c r="H30"/>
  <c r="I30"/>
  <c r="J30"/>
  <c r="F27"/>
  <c r="G27"/>
  <c r="H27"/>
  <c r="I27"/>
  <c r="J27"/>
  <c r="E27"/>
  <c r="T31"/>
</calcChain>
</file>

<file path=xl/sharedStrings.xml><?xml version="1.0" encoding="utf-8"?>
<sst xmlns="http://schemas.openxmlformats.org/spreadsheetml/2006/main" count="92" uniqueCount="23">
  <si>
    <t>1888:17834530|17895697|97587473|89478485|89478485|89478485|17895765|17895697|17895697|17895697|17895697|17895697|18682129|17895697|115413265|107374182|107374182|107374182|35791462|35791394|89478493|89478485|89478485|17895765|17895697|17895697|35791406|35791394|35791394|35791394|2236962|17895697|219222289|89478485|107374181|107374182|107374182|107376162|107374182|36071014|35791394|35791394|35791394|35791394|35791394|17965602|35721489|35791394|107373918|107374182|107374182|36071014|35791394|35791394|35791394|35791394|35791394|17895890|17895697|17895697|35791394|35791394|35791394|35791394|17895698|89510161|89478485|89478485|18175317|17895697|17895697|17895697|35791394|35791394|89478609|89478485|17913173|17895697|17895697|1118481|35791394|107405858|90596966|89478485|17913173|89510161|89478485|89478485|17895701|17895697|17895697|89480465|89478485|89478485|89478485|89478485|107877717|107374182|35792486|35791394|35791394|35791394|88499820|89478485|89478485|89478485|89478485|89478485|89478485|107374305|107374182|40265318|35791394|35791394|107749922|89478502|17895701|17895697|17895697|17895697|89480465|22369621|107374190|107374182|36071014|35791394|35791394|17895970|17895697|17895697|17895697|17895697|71614464|107374148|107374182|40265318|17913182|0|0|0|0|0|0|16777216|107376145|40265318|35791394|35791394|107374190|107374182|35791462|17895697|17895697|17895697|35791361|19014178|107304417|107374182|107374182|35791398|35791394|35791394|35791394|35791394|35791394|35791394|97657378|89478485|89478485|89478485|89478485|22369621|107374190|107374182|107374182|35791462|35791394|35791394|89478493|89478485|18175317|17895697|17895697|17895697|17895697|17895697|17895697|35791394|35791394|89478493|106255701|107374182|89482854|17895765|17895697|17895697|17895697|17895697|17895697|17895697|115483170|40265318|35791394|35791394|17895696|17895697|89478609|89478485|89478485|107374180|107374182|107374182|35791394|35791394|35791406|35791394|35791394|35791394|35791394|17895697|17895697|89510161|107369813|107374182|107374182|36071014|35791394|17895697|17895697|17895697|107374305|107374182|107374182|107374182|40265318|35791394|35791394|35791394|35791394|17945122|17895697|17895697|35791394|35791394|35791394|35791394|35791394|35791394|36072994|35791394|35791394|89480482|89478485|89478485|89478485|17913173|17895697|17895697|17895697|17895697|33624337|35791394|35791394|35791394|35791394|17895697|17895697|17895697|17895697|17895697</t>
  </si>
  <si>
    <t>$###00000000000000000000000000001000100010001000000000000000000000000000000000000000000000000000000000000000000000000000001000100010001000100000000000000000000000000000000000000000000000000000000000000000000000000000100010001000100000000000000000000000000000000000000000000000000000000000000000000000000000100010001000100010000000000000000000000000000000000000000000000000000000000000000000000000000010001000100010000000000000000000000000000000000000000000000000000000000000000000000000000010001000100010001000000000000000000000000000000000000000000000000000000000000000000000000000001000100010001000000000000000000000000000000000000000000000000000000000000000000000000000001000100010001000100000000000000000000000000|5^348,540!12^456,444!12^444,432!12^432,444!12^444,456!12^528,492!12^540,480!12^552,492!12^540,504!12^624,444!12^636,432!12^648,444!12^636,456!12^720,492!12^732,480!12^744,492!12^732,504!12^336,492!12^348,480!12^360,492!12^348,504!12^240,444!12^252,432!12^264,444!12^252,456!12^168,492!12^156,480!12^144,492!12^156,504!12^72,444!12^48,444!12^60,432!12^60,456!12^144,396!12^168,396!12^156,384!12^156,408!12^72,348!12^60,336!12^48,348!12^60,360!12^144,300!12^156,288!12^168,300!12^156,312!12^240,348!12^252,336!12^264,348!12^252,360!12^336,396!12^348,384!12^360,396!12^348,408!12^432,348!12^444,336!12^456,348!12^444,360!12^528,396!12^540,384!12^552,396!12^540,408!12^624,348!12^636,336!12^648,348!12^636,360!12^720,396!12^732,384!12^744,396!12^732,408!12^744,300!12^732,312!12^720,300!12^732,288!12^552,300!12^540,312!12^528,300!12^540,288!12^360,300!12^336,300!12^348,288!12^348,312!12^264,252!12^252,240!12^240,252!12^252,264!12^168,204!12^156,192!12^144,204!12^156,216!12^72,252!12^60,240!12^48,252!12^60,264!12^48,156!12^60,144!12^72,156!12^60,168!12^144,108!12^156,96!12^168,108!12^156,120!12^240,156!12^252,144!12^264,156!12^252,168!12^336,204!12^348,192!12^360,204!12^348,216!12^432,252!12^444,240!12^456,252!12^444,264!12^624,252!12^648,252!12^636,240!12^636,264!12^720,204!12^732,216!12^744,204!12^732,192!12^732,120!12^744,108!12^732,96!12^720,108!12^636,144!12^636,168!12^648,156!12^624,156!12^540,192!12^552,204!12^540,216!12^528,204!12^456,156!12^444,144!12^432,156!12^444,168!12^528,108!12^540,96!12^552,108!12^540,120!12^360,108!12^348,96!12^336,108!12^348,120!12^768,492!12^768,396!12^768,300!12^768,204!12^768,108!12^24,156!12^24,252!12^24,348!12^24,444!0^732,348!0^732,252!0^732,156!0^732,444!0^684,444!0^684,492!0^636,492!0^588,492!0^588,396!0^636,396!0^684,348!0^684,300!0^636,300!0^684,156!0^636,204!0^636,108!0^636,60!0^732,60!0^588,108!0^540,156!0^492,108!0^540,60!0^444,60!0^444,108!0^588,252!0^540,252!0^492,204!0^444,204!0^396,204!0^348,156!0^300,108!0^348,60!0^252,108!0^252,60!0^204,108!0^156,60!0^60,60!0^60,108!0^204,156!0^156,156!0^60,204!0^108,204!0^156,252!0^204,252!0^300,252!0^348,252!0^60,300!0^204,300!0^252,300!0^300,300!0^444,300!0^492,300!0^540,348!0^396,348!0^348,348!0^156,348!0^108,396!0^60,396!0^252,396!0^300,396!0^444,396!0^540,444!0^492,444!0^492,492!0^444,492!0^348,444!0^300,492!0^252,492!0^204,492!0^204,444!0^156,444!0^108,444!0^108,492!0^60,492!7^492,366,3!7^492,414,3!7^588,366,3!7^588,318,3!7^684,270,3!7^684,222,3!7^588,174,3!7^684,126,3!7^588,78,3!7^492,78,3!7^396,78,3!7^300,78,3!7^204,78,3!7^108,78,3!7^108,126,3!7^396,318,3!7^396,270,3!7^492,270,3!7^492,174,3!7^396,174,3!7^300,174,3!7^684,414,3!7^396,462,3!7^396,414,3!7^396,510,3!7^396,558,3!7^300,462,3!7^204,414,3!7^108,366,3!7^204,366,3!7^300,366,3!7^300,222,3!7^204,222,3!7^108,174,3!7^108,270,3!7^108,318,3!7^684,78,3!7^588,222,3!0^252,204!11^444,564,396,36!7^396,126,3!7^588,462,3#</t>
  </si>
  <si>
    <t>Frame#</t>
  </si>
  <si>
    <t>Action</t>
  </si>
  <si>
    <t>Value</t>
  </si>
  <si>
    <t>Total</t>
  </si>
  <si>
    <t>l</t>
  </si>
  <si>
    <t>r</t>
  </si>
  <si>
    <t>j</t>
  </si>
  <si>
    <t>h</t>
  </si>
  <si>
    <t>Action2</t>
  </si>
  <si>
    <t>Action1</t>
  </si>
  <si>
    <t>Inputs:</t>
  </si>
  <si>
    <t>Left</t>
  </si>
  <si>
    <t>Right</t>
  </si>
  <si>
    <t>Jump</t>
  </si>
  <si>
    <t>Hold</t>
  </si>
  <si>
    <t>Total:</t>
  </si>
  <si>
    <t>Level Data (Should include the trailing #)</t>
  </si>
  <si>
    <t>702:35791394|35791394|35791394|89480494|89478485|107374305|35791394|17895890|17895697|17895697|35791393|17900066|17895697|17895697|17|17825792|89505792|107373909|107374182|17477|0|17895697|17895697|17895697|17895697|17895697|35791121|35791394|35791394|35791394|89480450|89478485|89478485|89510229|89478485|89478485|89478485|89478485|89478485|89478485|89478485|89478485|89478485|89478485|89478485|35791377|35791394|35791394|2|89478608|89478485|89478485|89478485|107877717|107374182|35791394|35791394|89510434|89478485|89986389|89478485|89478485|35808993|35791394|35791394|35721489|35791394|35787026|35791394|35791394|35791394|35791394|0|0|35791394|139810|0|107374304|107374182|107374182|40265318|107374190|107374182|107374182|107374182|89990758|89478485|89478485|97604949|107374182|40265318|35791394|35791394|35791394|35791394|35790848|35791394|35791586|35791394</t>
  </si>
  <si>
    <t>$###5000000000&gt;E0000000000200000000000A000000000000000000000000000000000?0000000000000000000000000000FQQQQQQQI00GOOH00&gt;000000000000000000000000000000000000000000000?00FQQI00GOOH00FQQQQQI000000000000000000000000&gt;000000000000000000000000000000000000000000000?000GOOOOOH00FQQQI0000000000000000000000000000&gt;000000000000000000000000000000000000000000000?000000000000000000000000000FQQQQI00GOH00FQQI0&gt;000000000000000000000000000000000000000000000?00GOOOOOOOOH00FQQQI00000000000000000000000000&gt;00000000000000000000000000000GOOH00FQQQQI0000?000000000000000000000000000000000000000000000&gt;000FQQQQQQQI00GOOOOH0000000000000000000000000?0000000000000000000000000000FQI00GOOOH0000000&gt;00@000000000000000@0000H?D00000000000000?D0003|5^744,432!11^732,60,60,276!0^204,348!0^204,324!0^300,300!0^300,276!0^204,204!0^204,180!0^132,396!0^132,372!0^420,420!0^420,396!0^420,300!0^420,276!0^492,324!0^492,348!0^564,300!0^564,276!0^636,324!0^636,348!0^708,252!0^708,228!12^108,564!12^204,564!12^300,564!12^396,564!12^492,564!12^588,564!12^684,564!12^636,552!12^540,552!12^444,552!12^348,552!12^252,552!12^156,552!12^732,552!12^60,552!6^540,36,0,1,0,2!6^36,468,1,1,0,3!6^660,36,1,1,0,0!6^348,564,0,1,0,0!6^36,156,0,1,0,1#</t>
  </si>
  <si>
    <t>Demo Data (Do not include the trailing #)</t>
  </si>
  <si>
    <t/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</si>
</sst>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4"/>
      <color indexed="8"/>
      <name val="Times New Roman"/>
      <family val="1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49" fontId="0" fillId="0" borderId="0" xfId="0" applyNumberFormat="1" applyAlignment="1">
      <alignment horizontal="center" vertical="center" wrapText="1"/>
    </xf>
    <xf numFmtId="0" fontId="0" fillId="0" borderId="0" xfId="0" applyNumberFormat="1" applyAlignment="1"/>
    <xf numFmtId="0" fontId="0" fillId="0" borderId="0" xfId="0" applyNumberFormat="1" applyBorder="1" applyAlignment="1"/>
    <xf numFmtId="0" fontId="0" fillId="0" borderId="0" xfId="0" applyNumberFormat="1"/>
    <xf numFmtId="0" fontId="0" fillId="0" borderId="0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Fill="1" applyBorder="1" applyAlignment="1">
      <alignment horizontal="center"/>
    </xf>
    <xf numFmtId="0" fontId="0" fillId="0" borderId="3" xfId="0" applyNumberFormat="1" applyBorder="1"/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/>
    </xf>
    <xf numFmtId="0" fontId="0" fillId="0" borderId="4" xfId="0" applyNumberFormat="1" applyFill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17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0" xfId="0" applyNumberFormat="1"/>
    <xf numFmtId="49" fontId="0" fillId="0" borderId="0" xfId="0" applyNumberFormat="1" applyFill="1" applyBorder="1" applyAlignment="1">
      <alignment horizontal="right" vertical="center"/>
    </xf>
    <xf numFmtId="1" fontId="0" fillId="0" borderId="0" xfId="0" applyNumberFormat="1" applyBorder="1" applyAlignment="1"/>
    <xf numFmtId="0" fontId="0" fillId="0" borderId="0" xfId="0" applyAlignment="1">
      <alignment shrinkToFit="1"/>
    </xf>
    <xf numFmtId="1" fontId="0" fillId="0" borderId="0" xfId="0" applyNumberFormat="1" applyFill="1" applyBorder="1" applyAlignment="1"/>
    <xf numFmtId="0" fontId="2" fillId="0" borderId="0" xfId="0" applyFont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19" xfId="0" applyFont="1" applyBorder="1" applyAlignment="1">
      <alignment horizontal="center"/>
    </xf>
    <xf numFmtId="0" fontId="3" fillId="0" borderId="19" xfId="0" applyNumberFormat="1" applyFont="1" applyBorder="1" applyAlignment="1">
      <alignment horizontal="center"/>
    </xf>
    <xf numFmtId="0" fontId="3" fillId="0" borderId="20" xfId="0" applyNumberFormat="1" applyFont="1" applyBorder="1" applyAlignment="1">
      <alignment horizontal="center"/>
    </xf>
    <xf numFmtId="0" fontId="0" fillId="0" borderId="21" xfId="0" applyNumberFormat="1" applyBorder="1"/>
    <xf numFmtId="0" fontId="0" fillId="0" borderId="22" xfId="0" applyFont="1" applyBorder="1" applyAlignment="1">
      <alignment horizontal="center"/>
    </xf>
    <xf numFmtId="0" fontId="0" fillId="0" borderId="22" xfId="0" applyNumberFormat="1" applyFont="1" applyBorder="1" applyAlignment="1">
      <alignment horizontal="center"/>
    </xf>
    <xf numFmtId="0" fontId="0" fillId="0" borderId="23" xfId="0" applyNumberFormat="1" applyFont="1" applyBorder="1" applyAlignment="1">
      <alignment horizontal="center"/>
    </xf>
    <xf numFmtId="0" fontId="3" fillId="0" borderId="24" xfId="0" applyNumberFormat="1" applyFont="1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3" fillId="0" borderId="27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center" vertical="top" wrapText="1"/>
    </xf>
    <xf numFmtId="49" fontId="3" fillId="0" borderId="28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/>
    <xf numFmtId="0" fontId="0" fillId="0" borderId="29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49" fontId="4" fillId="0" borderId="31" xfId="0" applyNumberFormat="1" applyFont="1" applyBorder="1" applyAlignment="1">
      <alignment horizontal="left" vertical="top" wrapText="1"/>
    </xf>
    <xf numFmtId="49" fontId="4" fillId="0" borderId="32" xfId="0" applyNumberFormat="1" applyFont="1" applyBorder="1" applyAlignment="1">
      <alignment horizontal="left" vertical="top" wrapText="1"/>
    </xf>
    <xf numFmtId="49" fontId="4" fillId="0" borderId="33" xfId="0" applyNumberFormat="1" applyFont="1" applyBorder="1" applyAlignment="1">
      <alignment horizontal="left" vertical="top" wrapText="1"/>
    </xf>
    <xf numFmtId="49" fontId="4" fillId="0" borderId="29" xfId="0" applyNumberFormat="1" applyFont="1" applyBorder="1" applyAlignment="1">
      <alignment horizontal="left" vertical="top" wrapText="1"/>
    </xf>
    <xf numFmtId="49" fontId="4" fillId="0" borderId="0" xfId="0" applyNumberFormat="1" applyFont="1" applyBorder="1" applyAlignment="1">
      <alignment horizontal="left" vertical="top" wrapText="1"/>
    </xf>
    <xf numFmtId="49" fontId="4" fillId="0" borderId="16" xfId="0" applyNumberFormat="1" applyFont="1" applyBorder="1" applyAlignment="1">
      <alignment horizontal="left" vertical="top" wrapText="1"/>
    </xf>
    <xf numFmtId="49" fontId="4" fillId="0" borderId="30" xfId="0" applyNumberFormat="1" applyFont="1" applyBorder="1" applyAlignment="1">
      <alignment horizontal="left" vertical="top" wrapText="1"/>
    </xf>
    <xf numFmtId="49" fontId="4" fillId="0" borderId="2" xfId="0" applyNumberFormat="1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left" vertical="top" wrapText="1"/>
    </xf>
    <xf numFmtId="49" fontId="4" fillId="0" borderId="31" xfId="0" applyNumberFormat="1" applyFont="1" applyBorder="1" applyAlignment="1">
      <alignment horizontal="center" vertical="top" wrapText="1"/>
    </xf>
    <xf numFmtId="49" fontId="4" fillId="0" borderId="32" xfId="0" applyNumberFormat="1" applyFont="1" applyBorder="1" applyAlignment="1">
      <alignment horizontal="center" vertical="top" wrapText="1"/>
    </xf>
    <xf numFmtId="49" fontId="4" fillId="0" borderId="33" xfId="0" applyNumberFormat="1" applyFont="1" applyBorder="1" applyAlignment="1">
      <alignment horizontal="center" vertical="top" wrapText="1"/>
    </xf>
    <xf numFmtId="49" fontId="4" fillId="0" borderId="29" xfId="0" applyNumberFormat="1" applyFont="1" applyBorder="1" applyAlignment="1">
      <alignment horizontal="center" vertical="top" wrapText="1"/>
    </xf>
    <xf numFmtId="49" fontId="4" fillId="0" borderId="0" xfId="0" applyNumberFormat="1" applyFont="1" applyBorder="1" applyAlignment="1">
      <alignment horizontal="center" vertical="top" wrapText="1"/>
    </xf>
    <xf numFmtId="49" fontId="4" fillId="0" borderId="16" xfId="0" applyNumberFormat="1" applyFont="1" applyBorder="1" applyAlignment="1">
      <alignment horizontal="center" vertical="top" wrapText="1"/>
    </xf>
    <xf numFmtId="49" fontId="4" fillId="0" borderId="30" xfId="0" applyNumberFormat="1" applyFont="1" applyBorder="1" applyAlignment="1">
      <alignment horizontal="center" vertical="top" wrapText="1"/>
    </xf>
    <xf numFmtId="49" fontId="4" fillId="0" borderId="2" xfId="0" applyNumberFormat="1" applyFont="1" applyBorder="1" applyAlignment="1">
      <alignment horizontal="center" vertical="top" wrapText="1"/>
    </xf>
    <xf numFmtId="49" fontId="4" fillId="0" borderId="3" xfId="0" applyNumberFormat="1" applyFont="1" applyBorder="1" applyAlignment="1">
      <alignment horizontal="center" vertical="top" wrapText="1"/>
    </xf>
    <xf numFmtId="2" fontId="4" fillId="0" borderId="31" xfId="0" applyNumberFormat="1" applyFont="1" applyBorder="1" applyAlignment="1">
      <alignment horizontal="left" vertical="top" wrapText="1"/>
    </xf>
    <xf numFmtId="2" fontId="4" fillId="0" borderId="32" xfId="0" applyNumberFormat="1" applyFont="1" applyBorder="1" applyAlignment="1">
      <alignment horizontal="left" vertical="top" wrapText="1"/>
    </xf>
    <xf numFmtId="2" fontId="4" fillId="0" borderId="33" xfId="0" applyNumberFormat="1" applyFont="1" applyBorder="1" applyAlignment="1">
      <alignment horizontal="left" vertical="top" wrapText="1"/>
    </xf>
    <xf numFmtId="2" fontId="4" fillId="0" borderId="29" xfId="0" applyNumberFormat="1" applyFont="1" applyBorder="1" applyAlignment="1">
      <alignment horizontal="left" vertical="top" wrapText="1"/>
    </xf>
    <xf numFmtId="2" fontId="4" fillId="0" borderId="0" xfId="0" applyNumberFormat="1" applyFont="1" applyBorder="1" applyAlignment="1">
      <alignment horizontal="left" vertical="top" wrapText="1"/>
    </xf>
    <xf numFmtId="2" fontId="4" fillId="0" borderId="16" xfId="0" applyNumberFormat="1" applyFont="1" applyBorder="1" applyAlignment="1">
      <alignment horizontal="left" vertical="top" wrapText="1"/>
    </xf>
    <xf numFmtId="2" fontId="4" fillId="0" borderId="30" xfId="0" applyNumberFormat="1" applyFont="1" applyBorder="1" applyAlignment="1">
      <alignment horizontal="left" vertical="top" wrapText="1"/>
    </xf>
    <xf numFmtId="2" fontId="4" fillId="0" borderId="2" xfId="0" applyNumberFormat="1" applyFont="1" applyBorder="1" applyAlignment="1">
      <alignment horizontal="left" vertical="top" wrapText="1"/>
    </xf>
    <xf numFmtId="2" fontId="4" fillId="0" borderId="3" xfId="0" applyNumberFormat="1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W190"/>
  <sheetViews>
    <sheetView workbookViewId="0">
      <selection activeCell="B3" sqref="B3:U8"/>
    </sheetView>
  </sheetViews>
  <sheetFormatPr defaultColWidth="9.140625" defaultRowHeight="15"/>
  <cols>
    <col min="1" max="1" width="9.140625" customWidth="1"/>
    <col min="2" max="2" width="7.28515625" customWidth="1"/>
    <col min="3" max="3" width="8.42578125" customWidth="1"/>
    <col min="4" max="4" width="9" customWidth="1"/>
    <col min="5" max="5" width="8.28515625" customWidth="1"/>
    <col min="6" max="6" width="7.42578125" customWidth="1"/>
    <col min="7" max="7" width="9.28515625" customWidth="1"/>
    <col min="8" max="8" width="7" bestFit="1" customWidth="1"/>
    <col min="9" max="9" width="13.28515625" bestFit="1" customWidth="1"/>
    <col min="10" max="10" width="10.85546875" bestFit="1" customWidth="1"/>
    <col min="11" max="11" width="4.42578125" customWidth="1"/>
    <col min="12" max="12" width="11.28515625" bestFit="1" customWidth="1"/>
    <col min="13" max="13" width="10.85546875" bestFit="1" customWidth="1"/>
    <col min="14" max="14" width="9.140625" customWidth="1"/>
    <col min="15" max="15" width="7.85546875" customWidth="1"/>
    <col min="16" max="16" width="7.7109375" customWidth="1"/>
    <col min="17" max="17" width="8.28515625" customWidth="1"/>
    <col min="18" max="18" width="9" bestFit="1" customWidth="1"/>
    <col min="19" max="20" width="10" bestFit="1" customWidth="1"/>
    <col min="21" max="21" width="5.28515625" customWidth="1"/>
  </cols>
  <sheetData>
    <row r="2" spans="2:23" ht="15.75" thickBot="1">
      <c r="B2" s="43" t="s">
        <v>18</v>
      </c>
    </row>
    <row r="3" spans="2:23" ht="15.75" thickTop="1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2:23">
      <c r="B4" s="72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4"/>
    </row>
    <row r="5" spans="2:23">
      <c r="B5" s="72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4"/>
    </row>
    <row r="6" spans="2:23">
      <c r="B6" s="72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4"/>
    </row>
    <row r="7" spans="2:23">
      <c r="B7" s="72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4"/>
    </row>
    <row r="8" spans="2:23" ht="15.75" thickBot="1">
      <c r="B8" s="75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7"/>
    </row>
    <row r="9" spans="2:23" ht="16.5" thickTop="1" thickBot="1">
      <c r="B9" s="43" t="s">
        <v>21</v>
      </c>
    </row>
    <row r="10" spans="2:23" ht="14.45" customHeight="1" thickTop="1">
      <c r="B10" s="60" t="s">
        <v>22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2"/>
    </row>
    <row r="11" spans="2:23">
      <c r="B11" s="63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5"/>
      <c r="W11" s="39"/>
    </row>
    <row r="12" spans="2:23">
      <c r="B12" s="63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5"/>
    </row>
    <row r="13" spans="2:23">
      <c r="B13" s="63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5"/>
    </row>
    <row r="14" spans="2:23">
      <c r="B14" s="63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5"/>
    </row>
    <row r="15" spans="2:23">
      <c r="B15" s="63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2:23">
      <c r="B16" s="63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5"/>
      <c r="W16" s="39"/>
    </row>
    <row r="17" spans="2:23">
      <c r="B17" s="63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5"/>
    </row>
    <row r="18" spans="2:23">
      <c r="B18" s="63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5"/>
    </row>
    <row r="19" spans="2:23">
      <c r="B19" s="63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5"/>
    </row>
    <row r="20" spans="2:23">
      <c r="B20" s="63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5"/>
    </row>
    <row r="21" spans="2:23">
      <c r="B21" s="63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5"/>
    </row>
    <row r="22" spans="2:23" ht="15.75" thickBot="1">
      <c r="B22" s="66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8"/>
    </row>
    <row r="23" spans="2:23" ht="15.75" thickTop="1"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</row>
    <row r="24" spans="2:23"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</row>
    <row r="25" spans="2:23" ht="15.75" thickBo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2:23" ht="16.5" thickTop="1" thickBot="1">
      <c r="B26" s="10"/>
      <c r="C26" s="6" t="s">
        <v>2</v>
      </c>
      <c r="D26" s="28">
        <v>1</v>
      </c>
      <c r="E26" s="28">
        <v>2</v>
      </c>
      <c r="F26" s="28">
        <v>3</v>
      </c>
      <c r="G26" s="29">
        <v>4</v>
      </c>
      <c r="H26" s="29">
        <v>5</v>
      </c>
      <c r="I26" s="29">
        <v>6</v>
      </c>
      <c r="J26" s="30">
        <v>7</v>
      </c>
      <c r="K26" s="4"/>
      <c r="L26" s="11" t="s">
        <v>2</v>
      </c>
      <c r="M26" s="12">
        <v>1</v>
      </c>
      <c r="N26" s="12">
        <v>2</v>
      </c>
      <c r="O26" s="12">
        <v>3</v>
      </c>
      <c r="P26" s="12">
        <v>4</v>
      </c>
      <c r="Q26" s="12">
        <v>5</v>
      </c>
      <c r="R26" s="12">
        <v>6</v>
      </c>
      <c r="S26" s="12">
        <v>7</v>
      </c>
      <c r="T26" s="13" t="s">
        <v>5</v>
      </c>
      <c r="U26" s="4"/>
      <c r="V26" s="4"/>
    </row>
    <row r="27" spans="2:23" ht="16.5" thickTop="1" thickBot="1">
      <c r="B27" s="58" t="s">
        <v>3</v>
      </c>
      <c r="C27" s="18" t="s">
        <v>6</v>
      </c>
      <c r="D27" s="7">
        <v>1</v>
      </c>
      <c r="E27" s="7">
        <f t="shared" ref="E27:J30" si="0">$D27*16^(E$26-1)</f>
        <v>16</v>
      </c>
      <c r="F27" s="7">
        <f t="shared" si="0"/>
        <v>256</v>
      </c>
      <c r="G27" s="7">
        <f t="shared" si="0"/>
        <v>4096</v>
      </c>
      <c r="H27" s="7">
        <f t="shared" si="0"/>
        <v>65536</v>
      </c>
      <c r="I27" s="7">
        <f t="shared" si="0"/>
        <v>1048576</v>
      </c>
      <c r="J27" s="31">
        <f t="shared" si="0"/>
        <v>16777216</v>
      </c>
      <c r="K27" s="4"/>
      <c r="L27" s="14" t="s">
        <v>11</v>
      </c>
      <c r="M27" s="23"/>
      <c r="N27" s="23"/>
      <c r="O27" s="23"/>
      <c r="P27" s="23"/>
      <c r="Q27" s="23"/>
      <c r="R27" s="23"/>
      <c r="S27" s="23"/>
      <c r="T27" s="24"/>
      <c r="U27" s="4"/>
      <c r="V27" s="4"/>
    </row>
    <row r="28" spans="2:23" ht="15.75" thickBot="1">
      <c r="B28" s="58"/>
      <c r="C28" s="18" t="s">
        <v>7</v>
      </c>
      <c r="D28" s="7">
        <v>2</v>
      </c>
      <c r="E28" s="7">
        <f t="shared" si="0"/>
        <v>32</v>
      </c>
      <c r="F28" s="7">
        <f t="shared" si="0"/>
        <v>512</v>
      </c>
      <c r="G28" s="7">
        <f t="shared" si="0"/>
        <v>8192</v>
      </c>
      <c r="H28" s="7">
        <f t="shared" si="0"/>
        <v>131072</v>
      </c>
      <c r="I28" s="7">
        <f t="shared" si="0"/>
        <v>2097152</v>
      </c>
      <c r="J28" s="31">
        <f t="shared" si="0"/>
        <v>33554432</v>
      </c>
      <c r="K28" s="4"/>
      <c r="L28" s="15" t="s">
        <v>4</v>
      </c>
      <c r="M28" s="34" t="str">
        <f>IF(M27="","",INDEX($C$27:$D$30,MATCH(M27,$C$27:$C$30,0),2)*16^(M$26-1))</f>
        <v/>
      </c>
      <c r="N28" s="34" t="str">
        <f t="shared" ref="N28:S28" si="1">IF(N27="","",INDEX($C$27:$D$30,MATCH(N27,$C$27:$C$30,0),2)*16^(N$26-1))</f>
        <v/>
      </c>
      <c r="O28" s="34" t="str">
        <f t="shared" si="1"/>
        <v/>
      </c>
      <c r="P28" s="34" t="str">
        <f t="shared" si="1"/>
        <v/>
      </c>
      <c r="Q28" s="34" t="str">
        <f t="shared" si="1"/>
        <v/>
      </c>
      <c r="R28" s="34" t="str">
        <f t="shared" si="1"/>
        <v/>
      </c>
      <c r="S28" s="34" t="str">
        <f t="shared" si="1"/>
        <v/>
      </c>
      <c r="T28" s="35">
        <f>SUM(M28:S28)</f>
        <v>0</v>
      </c>
      <c r="U28" s="4"/>
      <c r="V28" s="4"/>
      <c r="W28" s="39"/>
    </row>
    <row r="29" spans="2:23" ht="16.5" thickTop="1" thickBot="1">
      <c r="B29" s="58"/>
      <c r="C29" s="18" t="s">
        <v>8</v>
      </c>
      <c r="D29" s="8">
        <v>12</v>
      </c>
      <c r="E29" s="7">
        <f t="shared" si="0"/>
        <v>192</v>
      </c>
      <c r="F29" s="7">
        <f t="shared" si="0"/>
        <v>3072</v>
      </c>
      <c r="G29" s="7">
        <f t="shared" si="0"/>
        <v>49152</v>
      </c>
      <c r="H29" s="7">
        <f t="shared" si="0"/>
        <v>786432</v>
      </c>
      <c r="I29" s="7">
        <f t="shared" si="0"/>
        <v>12582912</v>
      </c>
      <c r="J29" s="31">
        <f>$D29*16^(J$26-1)</f>
        <v>201326592</v>
      </c>
      <c r="K29" s="4"/>
      <c r="L29" s="21" t="s">
        <v>10</v>
      </c>
      <c r="M29" s="25"/>
      <c r="N29" s="26"/>
      <c r="O29" s="26"/>
      <c r="P29" s="26"/>
      <c r="Q29" s="26"/>
      <c r="R29" s="26"/>
      <c r="S29" s="26"/>
      <c r="T29" s="27"/>
      <c r="U29" s="4"/>
      <c r="V29" s="4"/>
    </row>
    <row r="30" spans="2:23" ht="15.75" thickBot="1">
      <c r="B30" s="59"/>
      <c r="C30" s="19" t="s">
        <v>9</v>
      </c>
      <c r="D30" s="9">
        <v>4</v>
      </c>
      <c r="E30" s="32">
        <f t="shared" si="0"/>
        <v>64</v>
      </c>
      <c r="F30" s="32">
        <f t="shared" si="0"/>
        <v>1024</v>
      </c>
      <c r="G30" s="32">
        <f t="shared" si="0"/>
        <v>16384</v>
      </c>
      <c r="H30" s="32">
        <f t="shared" si="0"/>
        <v>262144</v>
      </c>
      <c r="I30" s="32">
        <f t="shared" si="0"/>
        <v>4194304</v>
      </c>
      <c r="J30" s="33">
        <f t="shared" si="0"/>
        <v>67108864</v>
      </c>
      <c r="K30" s="4"/>
      <c r="L30" s="22" t="s">
        <v>4</v>
      </c>
      <c r="M30" s="34" t="str">
        <f>IF(M29="","",INDEX($C$27:$D$30,MATCH(M29,$C$27:$C$30,0),2)*16^(M$26-1))</f>
        <v/>
      </c>
      <c r="N30" s="34" t="str">
        <f t="shared" ref="N30:S30" si="2">IF(N29="","",INDEX($C$27:$D$30,MATCH(N29,$C$27:$C$30,0),2)*16^(N$26-1))</f>
        <v/>
      </c>
      <c r="O30" s="34" t="str">
        <f t="shared" si="2"/>
        <v/>
      </c>
      <c r="P30" s="34" t="str">
        <f t="shared" si="2"/>
        <v/>
      </c>
      <c r="Q30" s="34" t="str">
        <f t="shared" si="2"/>
        <v/>
      </c>
      <c r="R30" s="34" t="str">
        <f>IF(R29="","",INDEX($C$27:$D$30,MATCH(R29,$C$27:$C$30,0),2)*16^(R$26-1))</f>
        <v/>
      </c>
      <c r="S30" s="52" t="str">
        <f t="shared" si="2"/>
        <v/>
      </c>
      <c r="T30" s="53">
        <f>SUM(M30:S30)</f>
        <v>0</v>
      </c>
      <c r="U30" s="4"/>
      <c r="V30" s="4"/>
    </row>
    <row r="31" spans="2:23" ht="16.5" thickTop="1" thickBot="1">
      <c r="B31" s="3"/>
      <c r="C31" s="20"/>
      <c r="D31" s="5"/>
      <c r="E31" s="5"/>
      <c r="F31" s="5"/>
      <c r="G31" s="5"/>
      <c r="H31" s="5"/>
      <c r="I31" s="5"/>
      <c r="J31" s="5"/>
      <c r="K31" s="4"/>
      <c r="L31" s="4"/>
      <c r="M31" s="4"/>
      <c r="N31" s="4"/>
      <c r="O31" s="4"/>
      <c r="P31" s="4"/>
      <c r="Q31" s="4"/>
      <c r="R31" s="4"/>
      <c r="S31" s="54" t="s">
        <v>17</v>
      </c>
      <c r="T31" s="56">
        <f>$T$28+$T$30</f>
        <v>0</v>
      </c>
      <c r="U31" s="4"/>
      <c r="V31" s="4"/>
    </row>
    <row r="32" spans="2:23" ht="15.75" thickTop="1">
      <c r="B32" s="3"/>
      <c r="E32" s="3"/>
      <c r="F32" s="3"/>
      <c r="G32" s="3"/>
      <c r="H32" s="3"/>
      <c r="I32" s="3"/>
      <c r="J32" s="3"/>
      <c r="K32" s="4"/>
      <c r="L32" s="51" t="s">
        <v>12</v>
      </c>
      <c r="M32" s="44" t="s">
        <v>6</v>
      </c>
      <c r="N32" s="44" t="s">
        <v>7</v>
      </c>
      <c r="O32" s="45" t="s">
        <v>8</v>
      </c>
      <c r="P32" s="46" t="s">
        <v>9</v>
      </c>
      <c r="Q32" s="4"/>
      <c r="R32" s="4"/>
      <c r="S32" s="4"/>
      <c r="T32" s="4"/>
      <c r="U32" s="4"/>
      <c r="V32" s="4"/>
    </row>
    <row r="33" spans="2:22" ht="15.75" thickBot="1">
      <c r="B33" s="3"/>
      <c r="E33" s="3"/>
      <c r="F33" s="3"/>
      <c r="G33" s="3"/>
      <c r="H33" s="3"/>
      <c r="I33" s="3"/>
      <c r="J33" s="3"/>
      <c r="K33" s="4"/>
      <c r="L33" s="47"/>
      <c r="M33" s="48" t="s">
        <v>13</v>
      </c>
      <c r="N33" s="48" t="s">
        <v>14</v>
      </c>
      <c r="O33" s="49" t="s">
        <v>15</v>
      </c>
      <c r="P33" s="50" t="s">
        <v>16</v>
      </c>
      <c r="Q33" s="4"/>
      <c r="R33" s="4"/>
      <c r="S33" s="36"/>
      <c r="T33" s="4"/>
      <c r="U33" s="4"/>
      <c r="V33" s="4"/>
    </row>
    <row r="34" spans="2:22" ht="15.75" thickTop="1">
      <c r="B34" s="3"/>
      <c r="E34" s="3"/>
      <c r="F34" s="3"/>
      <c r="G34" s="38"/>
      <c r="H34" s="3"/>
      <c r="I34" s="3"/>
      <c r="J34" s="3"/>
      <c r="K34" s="4"/>
      <c r="L34" s="4"/>
      <c r="M34" s="42"/>
      <c r="O34" s="4"/>
      <c r="P34" s="4"/>
      <c r="Q34" s="4"/>
      <c r="R34" s="4"/>
      <c r="S34" s="4"/>
      <c r="T34" s="4"/>
      <c r="U34" s="4"/>
      <c r="V34" s="4"/>
    </row>
    <row r="35" spans="2:22">
      <c r="B35" s="3"/>
      <c r="E35" s="3"/>
      <c r="F35" s="3"/>
      <c r="G35" s="3"/>
      <c r="H35" s="3"/>
      <c r="I35" s="3"/>
      <c r="J35" s="3"/>
      <c r="K35" s="4"/>
      <c r="L35" s="4"/>
      <c r="M35" s="42"/>
      <c r="O35" s="4"/>
      <c r="P35" s="4"/>
      <c r="Q35" s="4"/>
      <c r="R35" s="4"/>
      <c r="S35" s="4"/>
      <c r="T35" s="4"/>
      <c r="U35" s="4"/>
      <c r="V35" s="4"/>
    </row>
    <row r="36" spans="2:22" ht="18.75">
      <c r="B36" s="3"/>
      <c r="C36" s="41"/>
      <c r="E36" s="3"/>
      <c r="F36" s="3"/>
      <c r="G36" s="3"/>
      <c r="H36" s="3"/>
      <c r="J36" s="3"/>
      <c r="K36" s="4"/>
      <c r="L36" s="4"/>
      <c r="N36" s="38"/>
      <c r="O36" s="4"/>
      <c r="P36" s="4"/>
      <c r="Q36" s="4"/>
      <c r="R36" s="4"/>
      <c r="S36" s="4"/>
      <c r="T36" s="4"/>
      <c r="U36" s="4"/>
      <c r="V36" s="4"/>
    </row>
    <row r="37" spans="2:22">
      <c r="B37" s="3"/>
      <c r="E37" s="3"/>
      <c r="F37" s="3"/>
      <c r="G37" s="3"/>
      <c r="H37" s="3"/>
      <c r="I37" s="37"/>
      <c r="J37" s="38"/>
      <c r="K37" s="4"/>
      <c r="L37" s="37"/>
      <c r="M37" s="36"/>
      <c r="O37" s="4"/>
      <c r="P37" s="4"/>
      <c r="Q37" s="4"/>
      <c r="R37" s="4"/>
      <c r="S37" s="4"/>
      <c r="T37" s="4"/>
      <c r="U37" s="4"/>
      <c r="V37" s="4"/>
    </row>
    <row r="38" spans="2:22">
      <c r="B38" s="3"/>
      <c r="E38" s="3"/>
      <c r="F38" s="3"/>
      <c r="G38" s="3"/>
      <c r="H38" s="3"/>
      <c r="I38" s="37"/>
      <c r="J38" s="38"/>
      <c r="K38" s="4"/>
      <c r="L38" s="37"/>
      <c r="M38" s="38"/>
      <c r="O38" s="4"/>
      <c r="P38" s="4"/>
      <c r="Q38" s="4"/>
      <c r="R38" s="4"/>
      <c r="S38" s="4"/>
      <c r="T38" s="4"/>
      <c r="U38" s="4"/>
      <c r="V38" s="4"/>
    </row>
    <row r="39" spans="2:22">
      <c r="B39" s="3"/>
      <c r="E39" s="3"/>
      <c r="F39" s="3"/>
      <c r="G39" s="3"/>
      <c r="H39" s="3"/>
      <c r="I39" s="37"/>
      <c r="J39" s="38"/>
      <c r="K39" s="4"/>
      <c r="L39" s="37"/>
      <c r="M39" s="40"/>
      <c r="O39" s="4"/>
      <c r="P39" s="4"/>
      <c r="Q39" s="4"/>
      <c r="R39" s="4"/>
      <c r="S39" s="4"/>
      <c r="T39" s="4"/>
      <c r="U39" s="4"/>
      <c r="V39" s="4"/>
    </row>
    <row r="40" spans="2:22">
      <c r="B40" s="3"/>
      <c r="E40" s="3"/>
      <c r="F40" s="3"/>
      <c r="G40" s="3"/>
      <c r="H40" s="3"/>
      <c r="I40" s="37"/>
      <c r="J40" s="38"/>
      <c r="K40" s="4"/>
      <c r="L40" s="37"/>
      <c r="M40" s="40"/>
      <c r="N40" s="3"/>
      <c r="O40" s="4"/>
      <c r="P40" s="4"/>
      <c r="Q40" s="4"/>
      <c r="R40" s="4"/>
      <c r="S40" s="4"/>
      <c r="T40" s="4"/>
      <c r="U40" s="4"/>
      <c r="V40" s="4"/>
    </row>
    <row r="41" spans="2:22">
      <c r="B41" s="3"/>
      <c r="C41" s="3"/>
      <c r="D41" s="3"/>
      <c r="E41" s="3"/>
      <c r="F41" s="3"/>
      <c r="G41" s="3"/>
      <c r="H41" s="3"/>
      <c r="I41" s="3"/>
      <c r="J41" s="3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2:22">
      <c r="B42" s="3"/>
      <c r="C42" s="3"/>
      <c r="D42" s="3"/>
      <c r="E42" s="3"/>
      <c r="F42" s="3"/>
      <c r="G42" s="3"/>
      <c r="H42" s="3"/>
      <c r="I42" s="3"/>
      <c r="J42" s="3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2:22">
      <c r="B43" s="3"/>
      <c r="C43" s="3"/>
      <c r="D43" s="3"/>
      <c r="E43" s="3"/>
      <c r="F43" s="3"/>
      <c r="G43" s="3"/>
      <c r="H43" s="3"/>
      <c r="I43" s="3"/>
      <c r="J43" s="3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2:22">
      <c r="B44" s="3"/>
      <c r="C44" s="3"/>
      <c r="D44" s="3"/>
      <c r="E44" s="3"/>
      <c r="F44" s="3"/>
      <c r="G44" s="3"/>
      <c r="H44" s="3"/>
      <c r="I44" s="3"/>
      <c r="J44" s="3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2:22">
      <c r="B45" s="3"/>
      <c r="C45" s="3"/>
      <c r="D45" s="3"/>
      <c r="E45" s="3"/>
      <c r="F45" s="3"/>
      <c r="G45" s="3"/>
      <c r="H45" s="3"/>
      <c r="I45" s="3"/>
      <c r="J45" s="3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2:22">
      <c r="B46" s="3"/>
      <c r="C46" s="3"/>
      <c r="D46" s="3"/>
      <c r="E46" s="3"/>
      <c r="F46" s="3"/>
      <c r="G46" s="3"/>
      <c r="H46" s="3"/>
      <c r="I46" s="3"/>
      <c r="J46" s="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2:22">
      <c r="B47" s="3"/>
      <c r="C47" s="3"/>
      <c r="D47" s="3"/>
      <c r="E47" s="3"/>
      <c r="F47" s="3"/>
      <c r="G47" s="3"/>
      <c r="H47" s="3"/>
      <c r="I47" s="3"/>
      <c r="J47" s="3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2:22">
      <c r="B48" s="3"/>
      <c r="C48" s="3"/>
      <c r="D48" s="3"/>
      <c r="E48" s="3"/>
      <c r="F48" s="3"/>
      <c r="G48" s="3"/>
      <c r="H48" s="3"/>
      <c r="I48" s="3"/>
      <c r="J48" s="3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2:22">
      <c r="B49" s="3"/>
      <c r="C49" s="3"/>
      <c r="D49" s="3"/>
      <c r="E49" s="3"/>
      <c r="F49" s="3"/>
      <c r="G49" s="3"/>
      <c r="H49" s="3"/>
      <c r="I49" s="3"/>
      <c r="J49" s="3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2:22">
      <c r="B50" s="3"/>
      <c r="C50" s="3"/>
      <c r="D50" s="3"/>
      <c r="E50" s="3"/>
      <c r="F50" s="3"/>
      <c r="G50" s="3"/>
      <c r="H50" s="3"/>
      <c r="I50" s="3"/>
      <c r="J50" s="3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2:22">
      <c r="B51" s="3"/>
      <c r="C51" s="3"/>
      <c r="D51" s="3"/>
      <c r="E51" s="3"/>
      <c r="F51" s="3"/>
      <c r="G51" s="3"/>
      <c r="H51" s="3"/>
      <c r="I51" s="3"/>
      <c r="J51" s="3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2:22">
      <c r="B52" s="3"/>
      <c r="C52" s="3"/>
      <c r="D52" s="3"/>
      <c r="E52" s="3"/>
      <c r="F52" s="3"/>
      <c r="G52" s="3"/>
      <c r="H52" s="3"/>
      <c r="I52" s="3"/>
      <c r="J52" s="3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2:22">
      <c r="B53" s="3"/>
      <c r="C53" s="3"/>
      <c r="D53" s="3"/>
      <c r="E53" s="3"/>
      <c r="F53" s="3"/>
      <c r="G53" s="3"/>
      <c r="H53" s="3"/>
      <c r="I53" s="3"/>
      <c r="J53" s="3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2:22">
      <c r="B54" s="3"/>
      <c r="C54" s="3"/>
      <c r="D54" s="3"/>
      <c r="E54" s="3"/>
      <c r="F54" s="3"/>
      <c r="G54" s="3"/>
      <c r="H54" s="3"/>
      <c r="I54" s="3"/>
      <c r="J54" s="3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2:22">
      <c r="B55" s="3"/>
      <c r="C55" s="3"/>
      <c r="D55" s="3"/>
      <c r="E55" s="3"/>
      <c r="F55" s="3"/>
      <c r="G55" s="3"/>
      <c r="H55" s="3"/>
      <c r="I55" s="3"/>
      <c r="J55" s="3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2:22">
      <c r="B56" s="3"/>
      <c r="C56" s="3"/>
      <c r="D56" s="3"/>
      <c r="E56" s="3"/>
      <c r="F56" s="3"/>
      <c r="G56" s="3"/>
      <c r="H56" s="3"/>
      <c r="I56" s="3"/>
      <c r="J56" s="3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2:22">
      <c r="B57" s="3"/>
      <c r="C57" s="3"/>
      <c r="D57" s="3"/>
      <c r="E57" s="3"/>
      <c r="F57" s="3"/>
      <c r="G57" s="3"/>
      <c r="H57" s="3"/>
      <c r="I57" s="3"/>
      <c r="J57" s="3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2:22">
      <c r="B58" s="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2:22">
      <c r="B59" s="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2:22">
      <c r="B60" s="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2:22">
      <c r="B61" s="2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2:22">
      <c r="B62" s="2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2:22">
      <c r="B63" s="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2:22">
      <c r="B64" s="2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2:22">
      <c r="B65" s="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2:22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2:22">
      <c r="B67" s="16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2:22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2:22">
      <c r="B69" s="17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2:22">
      <c r="B70" s="17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2:22">
      <c r="B71" s="17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2:22">
      <c r="B72" s="17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2:22">
      <c r="B73" s="17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2:22">
      <c r="B74" s="17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2:22">
      <c r="B75" s="17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2:22">
      <c r="B76" s="17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2:22">
      <c r="B77" s="17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2:22">
      <c r="B78" s="17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2:22">
      <c r="B79" s="17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2:22">
      <c r="B80" s="17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2:22">
      <c r="B81" s="17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2:22">
      <c r="B82" s="17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2:22">
      <c r="B83" s="17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2:22">
      <c r="B84" s="17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2:22">
      <c r="B85" s="17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2:22">
      <c r="B86" s="17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2:22">
      <c r="B87" s="17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2:22">
      <c r="B88" s="17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2:22">
      <c r="B89" s="17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2:22">
      <c r="B90" s="17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2:22">
      <c r="B91" s="17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2:22">
      <c r="B92" s="17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2:22">
      <c r="B93" s="17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2:22">
      <c r="B94" s="17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2:22">
      <c r="B95" s="17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2:22">
      <c r="B96" s="17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2:22">
      <c r="B97" s="17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2:22">
      <c r="B98" s="17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2:22">
      <c r="B99" s="17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2:22">
      <c r="B100" s="17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2:22">
      <c r="B101" s="17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2:22">
      <c r="B102" s="17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2:22">
      <c r="B103" s="17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2:22">
      <c r="B104" s="17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2:22">
      <c r="B105" s="17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2:22">
      <c r="B106" s="17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2:22">
      <c r="B107" s="17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2:22">
      <c r="B108" s="17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2:22">
      <c r="B109" s="17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2:22">
      <c r="B110" s="17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2:22">
      <c r="B111" s="17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2:22">
      <c r="B112" s="1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2:22">
      <c r="B113" s="1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2:22">
      <c r="B114" s="1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2:22">
      <c r="B115" s="17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2:22">
      <c r="B116" s="1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2:22">
      <c r="B117" s="17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2:22">
      <c r="B118" s="1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2:22">
      <c r="B119" s="17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2:22">
      <c r="B120" s="1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2:22">
      <c r="B121" s="17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2:22">
      <c r="B122" s="1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2:22">
      <c r="B123" s="1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2:22">
      <c r="B124" s="1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2:22">
      <c r="B125" s="17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2:22">
      <c r="B126" s="1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2:22">
      <c r="B127" s="1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2:22">
      <c r="B128" s="1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2:22">
      <c r="B129" s="1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2:22">
      <c r="B130" s="1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2:22">
      <c r="B131" s="17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2:22">
      <c r="B132" s="1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2:22">
      <c r="B133" s="17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2:22">
      <c r="B134" s="1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2:22">
      <c r="B135" s="1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2:22">
      <c r="B136" s="1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2:22">
      <c r="B137" s="17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2:22">
      <c r="B138" s="1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2:22">
      <c r="B139" s="17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2:22">
      <c r="B140" s="1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2:22">
      <c r="B141" s="17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2:22">
      <c r="B142" s="1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2:22">
      <c r="B143" s="17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2:22">
      <c r="B144" s="1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2:22">
      <c r="B145" s="17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2:22">
      <c r="B146" s="1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2:22">
      <c r="B147" s="17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2:22">
      <c r="B148" s="1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2:22">
      <c r="B149" s="17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2:22">
      <c r="B150" s="1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2:22">
      <c r="B151" s="1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2:22">
      <c r="B152" s="1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2:22">
      <c r="B153" s="17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2:22">
      <c r="B154" s="1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2:22">
      <c r="B155" s="17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2:22">
      <c r="B156" s="17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2:22">
      <c r="B157" s="17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2:22">
      <c r="B158" s="1"/>
    </row>
    <row r="159" spans="2:22">
      <c r="B159" s="1"/>
    </row>
    <row r="160" spans="2:2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</sheetData>
  <mergeCells count="3">
    <mergeCell ref="B27:B30"/>
    <mergeCell ref="B10:U22"/>
    <mergeCell ref="B3:U8"/>
  </mergeCells>
  <phoneticPr fontId="0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W190"/>
  <sheetViews>
    <sheetView tabSelected="1" workbookViewId="0">
      <selection activeCell="I34" sqref="I34:I35"/>
    </sheetView>
  </sheetViews>
  <sheetFormatPr defaultColWidth="9.140625" defaultRowHeight="15"/>
  <cols>
    <col min="1" max="1" width="9.140625" customWidth="1"/>
    <col min="2" max="2" width="7.28515625" customWidth="1"/>
    <col min="3" max="3" width="8.42578125" customWidth="1"/>
    <col min="4" max="4" width="9" customWidth="1"/>
    <col min="5" max="5" width="8.28515625" customWidth="1"/>
    <col min="6" max="6" width="7.42578125" customWidth="1"/>
    <col min="7" max="7" width="9.28515625" customWidth="1"/>
    <col min="8" max="8" width="7" bestFit="1" customWidth="1"/>
    <col min="9" max="9" width="13.28515625" bestFit="1" customWidth="1"/>
    <col min="10" max="10" width="10.85546875" bestFit="1" customWidth="1"/>
    <col min="11" max="11" width="4.42578125" customWidth="1"/>
    <col min="12" max="12" width="11.28515625" bestFit="1" customWidth="1"/>
    <col min="13" max="13" width="10.85546875" bestFit="1" customWidth="1"/>
    <col min="14" max="14" width="9.140625" customWidth="1"/>
    <col min="15" max="15" width="7.85546875" customWidth="1"/>
    <col min="16" max="16" width="7.7109375" customWidth="1"/>
    <col min="17" max="17" width="8.28515625" customWidth="1"/>
    <col min="18" max="18" width="9" bestFit="1" customWidth="1"/>
    <col min="19" max="20" width="10" bestFit="1" customWidth="1"/>
    <col min="21" max="21" width="5.28515625" customWidth="1"/>
  </cols>
  <sheetData>
    <row r="2" spans="2:23" ht="15.75" thickBot="1">
      <c r="B2" s="43" t="s">
        <v>18</v>
      </c>
    </row>
    <row r="3" spans="2:23" ht="15.75" thickTop="1">
      <c r="B3" s="69" t="s">
        <v>20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2:23">
      <c r="B4" s="72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4"/>
    </row>
    <row r="5" spans="2:23">
      <c r="B5" s="72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4"/>
    </row>
    <row r="6" spans="2:23">
      <c r="B6" s="72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4"/>
    </row>
    <row r="7" spans="2:23">
      <c r="B7" s="72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4"/>
    </row>
    <row r="8" spans="2:23" ht="15.75" thickBot="1">
      <c r="B8" s="75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7"/>
    </row>
    <row r="9" spans="2:23" ht="16.5" thickTop="1" thickBot="1">
      <c r="B9" s="43" t="s">
        <v>21</v>
      </c>
    </row>
    <row r="10" spans="2:23" ht="14.45" customHeight="1" thickTop="1">
      <c r="B10" s="78" t="s">
        <v>19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80"/>
    </row>
    <row r="11" spans="2:23">
      <c r="B11" s="81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3"/>
      <c r="W11" s="39"/>
    </row>
    <row r="12" spans="2:23">
      <c r="B12" s="81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3"/>
    </row>
    <row r="13" spans="2:23">
      <c r="B13" s="81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3"/>
    </row>
    <row r="14" spans="2:23">
      <c r="B14" s="81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3"/>
    </row>
    <row r="15" spans="2:23"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3"/>
    </row>
    <row r="16" spans="2:23">
      <c r="B16" s="81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3"/>
      <c r="W16" s="39"/>
    </row>
    <row r="17" spans="2:23">
      <c r="B17" s="81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3"/>
    </row>
    <row r="18" spans="2:23">
      <c r="B18" s="81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3"/>
    </row>
    <row r="19" spans="2:23">
      <c r="B19" s="81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3"/>
    </row>
    <row r="20" spans="2:23">
      <c r="B20" s="81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3"/>
    </row>
    <row r="21" spans="2:23">
      <c r="B21" s="81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3"/>
    </row>
    <row r="22" spans="2:23" ht="15.75" thickBot="1">
      <c r="B22" s="84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</row>
    <row r="23" spans="2:23" ht="15.75" thickTop="1"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</row>
    <row r="24" spans="2:23"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</row>
    <row r="25" spans="2:23" ht="15.75" thickBo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2:23" ht="16.5" thickTop="1" thickBot="1">
      <c r="B26" s="10"/>
      <c r="C26" s="6" t="s">
        <v>2</v>
      </c>
      <c r="D26" s="28">
        <v>1</v>
      </c>
      <c r="E26" s="28">
        <v>2</v>
      </c>
      <c r="F26" s="28">
        <v>3</v>
      </c>
      <c r="G26" s="29">
        <v>4</v>
      </c>
      <c r="H26" s="29">
        <v>5</v>
      </c>
      <c r="I26" s="29">
        <v>6</v>
      </c>
      <c r="J26" s="30">
        <v>7</v>
      </c>
      <c r="K26" s="4"/>
      <c r="L26" s="11" t="s">
        <v>2</v>
      </c>
      <c r="M26" s="12">
        <v>1</v>
      </c>
      <c r="N26" s="12">
        <v>2</v>
      </c>
      <c r="O26" s="12">
        <v>3</v>
      </c>
      <c r="P26" s="12">
        <v>4</v>
      </c>
      <c r="Q26" s="12">
        <v>5</v>
      </c>
      <c r="R26" s="12">
        <v>6</v>
      </c>
      <c r="S26" s="12">
        <v>7</v>
      </c>
      <c r="T26" s="13" t="s">
        <v>5</v>
      </c>
      <c r="U26" s="4"/>
      <c r="V26" s="4"/>
    </row>
    <row r="27" spans="2:23" ht="16.5" thickTop="1" thickBot="1">
      <c r="B27" s="58" t="s">
        <v>3</v>
      </c>
      <c r="C27" s="18" t="s">
        <v>6</v>
      </c>
      <c r="D27" s="7">
        <v>1</v>
      </c>
      <c r="E27" s="7">
        <f t="shared" ref="E27:J30" si="0">$D27*16^(E$26-1)</f>
        <v>16</v>
      </c>
      <c r="F27" s="7">
        <f t="shared" si="0"/>
        <v>256</v>
      </c>
      <c r="G27" s="7">
        <f t="shared" si="0"/>
        <v>4096</v>
      </c>
      <c r="H27" s="7">
        <f t="shared" si="0"/>
        <v>65536</v>
      </c>
      <c r="I27" s="7">
        <f t="shared" si="0"/>
        <v>1048576</v>
      </c>
      <c r="J27" s="31">
        <f t="shared" si="0"/>
        <v>16777216</v>
      </c>
      <c r="K27" s="4"/>
      <c r="L27" s="14" t="s">
        <v>11</v>
      </c>
      <c r="M27" s="23" t="s">
        <v>7</v>
      </c>
      <c r="N27" s="23" t="s">
        <v>7</v>
      </c>
      <c r="O27" s="23" t="s">
        <v>7</v>
      </c>
      <c r="P27" s="23" t="s">
        <v>7</v>
      </c>
      <c r="Q27" s="23" t="s">
        <v>7</v>
      </c>
      <c r="R27" s="23" t="s">
        <v>7</v>
      </c>
      <c r="S27" s="23" t="s">
        <v>7</v>
      </c>
      <c r="T27" s="24"/>
      <c r="U27" s="4"/>
      <c r="V27" s="4"/>
    </row>
    <row r="28" spans="2:23" ht="15.75" thickBot="1">
      <c r="B28" s="58"/>
      <c r="C28" s="18" t="s">
        <v>7</v>
      </c>
      <c r="D28" s="7">
        <v>2</v>
      </c>
      <c r="E28" s="7">
        <f t="shared" si="0"/>
        <v>32</v>
      </c>
      <c r="F28" s="7">
        <f t="shared" si="0"/>
        <v>512</v>
      </c>
      <c r="G28" s="7">
        <f t="shared" si="0"/>
        <v>8192</v>
      </c>
      <c r="H28" s="7">
        <f t="shared" si="0"/>
        <v>131072</v>
      </c>
      <c r="I28" s="7">
        <f t="shared" si="0"/>
        <v>2097152</v>
      </c>
      <c r="J28" s="31">
        <f t="shared" si="0"/>
        <v>33554432</v>
      </c>
      <c r="K28" s="4"/>
      <c r="L28" s="15" t="s">
        <v>4</v>
      </c>
      <c r="M28" s="34">
        <f>IF(M27="","",INDEX($C$27:$D$30,MATCH(M27,$C$27:$C$30,0),2)*16^(M$26-1))</f>
        <v>2</v>
      </c>
      <c r="N28" s="34">
        <f t="shared" ref="N28:S28" si="1">IF(N27="","",INDEX($C$27:$D$30,MATCH(N27,$C$27:$C$30,0),2)*16^(N$26-1))</f>
        <v>32</v>
      </c>
      <c r="O28" s="34">
        <f t="shared" si="1"/>
        <v>512</v>
      </c>
      <c r="P28" s="34">
        <f t="shared" si="1"/>
        <v>8192</v>
      </c>
      <c r="Q28" s="34">
        <f t="shared" si="1"/>
        <v>131072</v>
      </c>
      <c r="R28" s="34">
        <f t="shared" si="1"/>
        <v>2097152</v>
      </c>
      <c r="S28" s="34">
        <f t="shared" si="1"/>
        <v>33554432</v>
      </c>
      <c r="T28" s="35">
        <f>SUM(M28:S28)</f>
        <v>35791394</v>
      </c>
      <c r="U28" s="4"/>
      <c r="V28" s="4"/>
      <c r="W28" s="39"/>
    </row>
    <row r="29" spans="2:23" ht="16.5" thickTop="1" thickBot="1">
      <c r="B29" s="58"/>
      <c r="C29" s="18" t="s">
        <v>8</v>
      </c>
      <c r="D29" s="8">
        <v>12</v>
      </c>
      <c r="E29" s="7">
        <f t="shared" si="0"/>
        <v>192</v>
      </c>
      <c r="F29" s="7">
        <f t="shared" si="0"/>
        <v>3072</v>
      </c>
      <c r="G29" s="7">
        <f t="shared" si="0"/>
        <v>49152</v>
      </c>
      <c r="H29" s="7">
        <f t="shared" si="0"/>
        <v>786432</v>
      </c>
      <c r="I29" s="7">
        <f t="shared" si="0"/>
        <v>12582912</v>
      </c>
      <c r="J29" s="31">
        <f>$D29*16^(J$26-1)</f>
        <v>201326592</v>
      </c>
      <c r="K29" s="4"/>
      <c r="L29" s="21" t="s">
        <v>10</v>
      </c>
      <c r="M29" s="25"/>
      <c r="N29" s="26" t="s">
        <v>8</v>
      </c>
      <c r="O29" s="26"/>
      <c r="P29" s="26"/>
      <c r="Q29" s="26"/>
      <c r="R29" s="26"/>
      <c r="S29" s="26"/>
      <c r="T29" s="27"/>
      <c r="U29" s="4"/>
      <c r="V29" s="4"/>
    </row>
    <row r="30" spans="2:23" ht="15.75" thickBot="1">
      <c r="B30" s="59"/>
      <c r="C30" s="19" t="s">
        <v>9</v>
      </c>
      <c r="D30" s="9">
        <v>4</v>
      </c>
      <c r="E30" s="32">
        <f t="shared" si="0"/>
        <v>64</v>
      </c>
      <c r="F30" s="32">
        <f t="shared" si="0"/>
        <v>1024</v>
      </c>
      <c r="G30" s="32">
        <f t="shared" si="0"/>
        <v>16384</v>
      </c>
      <c r="H30" s="32">
        <f t="shared" si="0"/>
        <v>262144</v>
      </c>
      <c r="I30" s="32">
        <f t="shared" si="0"/>
        <v>4194304</v>
      </c>
      <c r="J30" s="33">
        <f t="shared" si="0"/>
        <v>67108864</v>
      </c>
      <c r="K30" s="4"/>
      <c r="L30" s="22" t="s">
        <v>4</v>
      </c>
      <c r="M30" s="34" t="str">
        <f>IF(M29="","",INDEX($C$27:$D$30,MATCH(M29,$C$27:$C$30,0),2)*16^(M$26-1))</f>
        <v/>
      </c>
      <c r="N30" s="34">
        <f t="shared" ref="N30:S30" si="2">IF(N29="","",INDEX($C$27:$D$30,MATCH(N29,$C$27:$C$30,0),2)*16^(N$26-1))</f>
        <v>192</v>
      </c>
      <c r="O30" s="34" t="str">
        <f t="shared" si="2"/>
        <v/>
      </c>
      <c r="P30" s="34" t="str">
        <f t="shared" si="2"/>
        <v/>
      </c>
      <c r="Q30" s="34" t="str">
        <f t="shared" si="2"/>
        <v/>
      </c>
      <c r="R30" s="34" t="str">
        <f>IF(R29="","",INDEX($C$27:$D$30,MATCH(R29,$C$27:$C$30,0),2)*16^(R$26-1))</f>
        <v/>
      </c>
      <c r="S30" s="52" t="str">
        <f t="shared" si="2"/>
        <v/>
      </c>
      <c r="T30" s="53">
        <f>SUM(M30:S30)</f>
        <v>192</v>
      </c>
      <c r="U30" s="4"/>
      <c r="V30" s="4"/>
    </row>
    <row r="31" spans="2:23" ht="16.5" thickTop="1" thickBot="1">
      <c r="B31" s="3"/>
      <c r="C31" s="20"/>
      <c r="D31" s="5"/>
      <c r="E31" s="5"/>
      <c r="F31" s="5"/>
      <c r="G31" s="5"/>
      <c r="H31" s="5"/>
      <c r="I31" s="5"/>
      <c r="J31" s="5"/>
      <c r="K31" s="4"/>
      <c r="L31" s="4"/>
      <c r="M31" s="4"/>
      <c r="N31" s="4"/>
      <c r="O31" s="4"/>
      <c r="P31" s="4"/>
      <c r="Q31" s="4"/>
      <c r="R31" s="4"/>
      <c r="S31" s="54" t="s">
        <v>17</v>
      </c>
      <c r="T31" s="56">
        <f>$T$28+$T$30</f>
        <v>35791586</v>
      </c>
      <c r="U31" s="4"/>
      <c r="V31" s="4"/>
    </row>
    <row r="32" spans="2:23" ht="15.75" thickTop="1">
      <c r="B32" s="3"/>
      <c r="E32" s="3"/>
      <c r="F32" s="3"/>
      <c r="G32" s="3"/>
      <c r="H32" s="3"/>
      <c r="I32" s="3"/>
      <c r="J32" s="3"/>
      <c r="K32" s="4"/>
      <c r="L32" s="51" t="s">
        <v>12</v>
      </c>
      <c r="M32" s="44" t="s">
        <v>6</v>
      </c>
      <c r="N32" s="44" t="s">
        <v>7</v>
      </c>
      <c r="O32" s="45" t="s">
        <v>8</v>
      </c>
      <c r="P32" s="46" t="s">
        <v>9</v>
      </c>
      <c r="Q32" s="4"/>
      <c r="R32" s="4"/>
      <c r="S32" s="4"/>
      <c r="T32" s="4"/>
      <c r="U32" s="4"/>
      <c r="V32" s="4"/>
    </row>
    <row r="33" spans="2:22" ht="15.75" thickBot="1">
      <c r="B33" s="3"/>
      <c r="E33" s="3"/>
      <c r="F33" s="3"/>
      <c r="G33" s="3"/>
      <c r="H33" s="3"/>
      <c r="I33" s="3"/>
      <c r="J33" s="3"/>
      <c r="K33" s="4"/>
      <c r="L33" s="47"/>
      <c r="M33" s="48" t="s">
        <v>13</v>
      </c>
      <c r="N33" s="48" t="s">
        <v>14</v>
      </c>
      <c r="O33" s="49" t="s">
        <v>15</v>
      </c>
      <c r="P33" s="50" t="s">
        <v>16</v>
      </c>
      <c r="Q33" s="4"/>
      <c r="R33" s="4"/>
      <c r="S33" s="36"/>
      <c r="T33" s="4"/>
      <c r="U33" s="4"/>
      <c r="V33" s="4"/>
    </row>
    <row r="34" spans="2:22" ht="15.75" thickTop="1">
      <c r="B34" s="3"/>
      <c r="E34" s="3"/>
      <c r="F34" s="3"/>
      <c r="G34" s="38"/>
      <c r="H34" s="3"/>
      <c r="I34" s="57"/>
      <c r="J34" s="3"/>
      <c r="K34" s="4"/>
      <c r="L34" s="4"/>
      <c r="M34" s="42"/>
      <c r="O34" s="4"/>
      <c r="P34" s="4"/>
      <c r="Q34" s="4"/>
      <c r="R34" s="4"/>
      <c r="S34" s="4"/>
      <c r="T34" s="4"/>
      <c r="U34" s="4"/>
      <c r="V34" s="4"/>
    </row>
    <row r="35" spans="2:22">
      <c r="B35" s="3"/>
      <c r="E35" s="3"/>
      <c r="F35" s="3"/>
      <c r="G35" s="3"/>
      <c r="H35" s="3"/>
      <c r="I35" s="57"/>
      <c r="J35" s="3"/>
      <c r="K35" s="4"/>
      <c r="L35" s="4"/>
      <c r="M35" s="42"/>
      <c r="O35" s="4"/>
      <c r="P35" s="4"/>
      <c r="Q35" s="4"/>
      <c r="R35" s="4"/>
      <c r="S35" s="4"/>
      <c r="T35" s="4"/>
      <c r="U35" s="4"/>
      <c r="V35" s="4"/>
    </row>
    <row r="36" spans="2:22" ht="18.75">
      <c r="B36" s="3"/>
      <c r="C36" s="41"/>
      <c r="E36" s="3"/>
      <c r="F36" s="3"/>
      <c r="G36" s="3"/>
      <c r="H36" s="3"/>
      <c r="J36" s="3"/>
      <c r="K36" s="4"/>
      <c r="L36" s="4"/>
      <c r="N36" s="38"/>
      <c r="O36" s="4"/>
      <c r="P36" s="4"/>
      <c r="Q36" s="4"/>
      <c r="R36" s="4"/>
      <c r="S36" s="4"/>
      <c r="T36" s="4"/>
      <c r="U36" s="4"/>
      <c r="V36" s="4"/>
    </row>
    <row r="37" spans="2:22">
      <c r="B37" s="3"/>
      <c r="E37" s="3"/>
      <c r="F37" s="3"/>
      <c r="G37" s="3"/>
      <c r="H37" s="3"/>
      <c r="I37" s="37"/>
      <c r="J37" s="38"/>
      <c r="K37" s="4"/>
      <c r="L37" s="37"/>
      <c r="M37" s="36"/>
      <c r="O37" s="4"/>
      <c r="P37" s="4"/>
      <c r="Q37" s="4"/>
      <c r="R37" s="4"/>
      <c r="S37" s="4"/>
      <c r="T37" s="4"/>
      <c r="U37" s="4"/>
      <c r="V37" s="4"/>
    </row>
    <row r="38" spans="2:22">
      <c r="B38" s="3"/>
      <c r="E38" s="3"/>
      <c r="F38" s="3"/>
      <c r="G38" s="3"/>
      <c r="H38" s="3"/>
      <c r="I38" s="37"/>
      <c r="J38" s="38"/>
      <c r="K38" s="4"/>
      <c r="L38" s="37"/>
      <c r="M38" s="38"/>
      <c r="O38" s="4"/>
      <c r="P38" s="4"/>
      <c r="Q38" s="4"/>
      <c r="R38" s="4"/>
      <c r="S38" s="4"/>
      <c r="T38" s="4"/>
      <c r="U38" s="4"/>
      <c r="V38" s="4"/>
    </row>
    <row r="39" spans="2:22">
      <c r="B39" s="3"/>
      <c r="E39" s="3"/>
      <c r="F39" s="3"/>
      <c r="G39" s="3"/>
      <c r="H39" s="3"/>
      <c r="I39" s="37"/>
      <c r="J39" s="38"/>
      <c r="K39" s="4"/>
      <c r="L39" s="37"/>
      <c r="M39" s="40"/>
      <c r="O39" s="4"/>
      <c r="P39" s="4"/>
      <c r="Q39" s="4"/>
      <c r="R39" s="4"/>
      <c r="S39" s="4"/>
      <c r="T39" s="4"/>
      <c r="U39" s="4"/>
      <c r="V39" s="4"/>
    </row>
    <row r="40" spans="2:22">
      <c r="B40" s="3"/>
      <c r="E40" s="3"/>
      <c r="F40" s="3"/>
      <c r="G40" s="3"/>
      <c r="H40" s="3"/>
      <c r="I40" s="37"/>
      <c r="J40" s="38"/>
      <c r="K40" s="4"/>
      <c r="L40" s="37"/>
      <c r="M40" s="40"/>
      <c r="N40" s="3"/>
      <c r="O40" s="4"/>
      <c r="P40" s="4"/>
      <c r="Q40" s="4"/>
      <c r="R40" s="4"/>
      <c r="S40" s="4"/>
      <c r="T40" s="4"/>
      <c r="U40" s="4"/>
      <c r="V40" s="4"/>
    </row>
    <row r="41" spans="2:22">
      <c r="B41" s="3"/>
      <c r="C41" s="3"/>
      <c r="D41" s="3"/>
      <c r="E41" s="3"/>
      <c r="F41" s="3"/>
      <c r="G41" s="3"/>
      <c r="H41" s="3"/>
      <c r="I41" s="3"/>
      <c r="J41" s="3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2:22">
      <c r="B42" s="3"/>
      <c r="C42" s="3"/>
      <c r="D42" s="3"/>
      <c r="E42" s="3"/>
      <c r="F42" s="3"/>
      <c r="G42" s="3"/>
      <c r="H42" s="3"/>
      <c r="I42" s="3"/>
      <c r="J42" s="3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2:22">
      <c r="B43" s="3"/>
      <c r="C43" s="3"/>
      <c r="D43" s="3"/>
      <c r="E43" s="3"/>
      <c r="F43" s="3"/>
      <c r="G43" s="3"/>
      <c r="H43" s="3"/>
      <c r="I43" s="3"/>
      <c r="J43" s="3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2:22">
      <c r="B44" s="3"/>
      <c r="C44" s="3"/>
      <c r="D44" s="3"/>
      <c r="E44" s="3"/>
      <c r="F44" s="3"/>
      <c r="G44" s="3"/>
      <c r="H44" s="3"/>
      <c r="I44" s="3"/>
      <c r="J44" s="3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2:22">
      <c r="B45" s="3"/>
      <c r="C45" s="3"/>
      <c r="D45" s="3"/>
      <c r="E45" s="3"/>
      <c r="F45" s="3"/>
      <c r="G45" s="3"/>
      <c r="H45" s="3"/>
      <c r="I45" s="3"/>
      <c r="J45" s="3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2:22">
      <c r="B46" s="3"/>
      <c r="C46" s="3"/>
      <c r="D46" s="3"/>
      <c r="E46" s="3"/>
      <c r="F46" s="3"/>
      <c r="G46" s="3"/>
      <c r="H46" s="3"/>
      <c r="I46" s="3"/>
      <c r="J46" s="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2:22">
      <c r="B47" s="3"/>
      <c r="C47" s="3"/>
      <c r="D47" s="3"/>
      <c r="E47" s="3"/>
      <c r="F47" s="3"/>
      <c r="G47" s="3"/>
      <c r="H47" s="3"/>
      <c r="I47" s="3"/>
      <c r="J47" s="3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2:22">
      <c r="B48" s="3"/>
      <c r="C48" s="3"/>
      <c r="D48" s="3"/>
      <c r="E48" s="3"/>
      <c r="F48" s="3"/>
      <c r="G48" s="3"/>
      <c r="H48" s="3"/>
      <c r="I48" s="3"/>
      <c r="J48" s="3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2:22">
      <c r="B49" s="3"/>
      <c r="C49" s="3"/>
      <c r="D49" s="3"/>
      <c r="E49" s="3"/>
      <c r="F49" s="3"/>
      <c r="G49" s="3"/>
      <c r="H49" s="3"/>
      <c r="I49" s="3"/>
      <c r="J49" s="3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2:22">
      <c r="B50" s="3"/>
      <c r="C50" s="3"/>
      <c r="D50" s="3"/>
      <c r="E50" s="3"/>
      <c r="F50" s="3"/>
      <c r="G50" s="3"/>
      <c r="H50" s="3"/>
      <c r="I50" s="3"/>
      <c r="J50" s="3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2:22">
      <c r="B51" s="3"/>
      <c r="C51" s="3"/>
      <c r="D51" s="3"/>
      <c r="E51" s="3"/>
      <c r="F51" s="3"/>
      <c r="G51" s="3"/>
      <c r="H51" s="3"/>
      <c r="I51" s="3"/>
      <c r="J51" s="3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2:22">
      <c r="B52" s="3"/>
      <c r="C52" s="3"/>
      <c r="D52" s="3"/>
      <c r="E52" s="3"/>
      <c r="F52" s="3"/>
      <c r="G52" s="3"/>
      <c r="H52" s="3"/>
      <c r="I52" s="3"/>
      <c r="J52" s="3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2:22">
      <c r="B53" s="3"/>
      <c r="C53" s="3"/>
      <c r="D53" s="3"/>
      <c r="E53" s="3"/>
      <c r="F53" s="3"/>
      <c r="G53" s="3"/>
      <c r="H53" s="3"/>
      <c r="I53" s="3"/>
      <c r="J53" s="3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2:22">
      <c r="B54" s="3"/>
      <c r="C54" s="3"/>
      <c r="D54" s="3"/>
      <c r="E54" s="3"/>
      <c r="F54" s="3"/>
      <c r="G54" s="3"/>
      <c r="H54" s="3"/>
      <c r="I54" s="3"/>
      <c r="J54" s="3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2:22">
      <c r="B55" s="3"/>
      <c r="C55" s="3"/>
      <c r="D55" s="3"/>
      <c r="E55" s="3"/>
      <c r="F55" s="3"/>
      <c r="G55" s="3"/>
      <c r="H55" s="3"/>
      <c r="I55" s="3"/>
      <c r="J55" s="3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2:22">
      <c r="B56" s="3"/>
      <c r="C56" s="3"/>
      <c r="D56" s="3"/>
      <c r="E56" s="3"/>
      <c r="F56" s="3"/>
      <c r="G56" s="3"/>
      <c r="H56" s="3"/>
      <c r="I56" s="3"/>
      <c r="J56" s="3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2:22">
      <c r="B57" s="3"/>
      <c r="C57" s="3"/>
      <c r="D57" s="3"/>
      <c r="E57" s="3"/>
      <c r="F57" s="3"/>
      <c r="G57" s="3"/>
      <c r="H57" s="3"/>
      <c r="I57" s="3"/>
      <c r="J57" s="3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2:22">
      <c r="B58" s="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2:22">
      <c r="B59" s="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2:22">
      <c r="B60" s="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2:22">
      <c r="B61" s="2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2:22">
      <c r="B62" s="2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2:22">
      <c r="B63" s="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2:22">
      <c r="B64" s="2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2:22">
      <c r="B65" s="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2:22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2:22">
      <c r="B67" s="16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2:22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2:22">
      <c r="B69" s="17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2:22">
      <c r="B70" s="17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2:22">
      <c r="B71" s="17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2:22">
      <c r="B72" s="17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2:22">
      <c r="B73" s="17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2:22">
      <c r="B74" s="17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2:22">
      <c r="B75" s="17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2:22">
      <c r="B76" s="17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2:22">
      <c r="B77" s="17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2:22">
      <c r="B78" s="17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2:22">
      <c r="B79" s="17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2:22">
      <c r="B80" s="17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2:22">
      <c r="B81" s="17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2:22">
      <c r="B82" s="17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2:22">
      <c r="B83" s="17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2:22">
      <c r="B84" s="17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2:22">
      <c r="B85" s="17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2:22">
      <c r="B86" s="17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2:22">
      <c r="B87" s="17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2:22">
      <c r="B88" s="17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2:22">
      <c r="B89" s="17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2:22">
      <c r="B90" s="17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2:22">
      <c r="B91" s="17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2:22">
      <c r="B92" s="17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2:22">
      <c r="B93" s="17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2:22">
      <c r="B94" s="17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2:22">
      <c r="B95" s="17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2:22">
      <c r="B96" s="17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2:22">
      <c r="B97" s="17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2:22">
      <c r="B98" s="17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2:22">
      <c r="B99" s="17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2:22">
      <c r="B100" s="17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2:22">
      <c r="B101" s="17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2:22">
      <c r="B102" s="17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2:22">
      <c r="B103" s="17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2:22">
      <c r="B104" s="17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2:22">
      <c r="B105" s="17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2:22">
      <c r="B106" s="17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2:22">
      <c r="B107" s="17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2:22">
      <c r="B108" s="17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2:22">
      <c r="B109" s="17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2:22">
      <c r="B110" s="17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2:22">
      <c r="B111" s="17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2:22">
      <c r="B112" s="1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2:22">
      <c r="B113" s="1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2:22">
      <c r="B114" s="1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2:22">
      <c r="B115" s="17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2:22">
      <c r="B116" s="1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2:22">
      <c r="B117" s="17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2:22">
      <c r="B118" s="1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2:22">
      <c r="B119" s="17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2:22">
      <c r="B120" s="1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2:22">
      <c r="B121" s="17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2:22">
      <c r="B122" s="1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2:22">
      <c r="B123" s="1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2:22">
      <c r="B124" s="1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2:22">
      <c r="B125" s="17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2:22">
      <c r="B126" s="1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2:22">
      <c r="B127" s="1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2:22">
      <c r="B128" s="1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2:22">
      <c r="B129" s="1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2:22">
      <c r="B130" s="1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2:22">
      <c r="B131" s="17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2:22">
      <c r="B132" s="1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2:22">
      <c r="B133" s="17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2:22">
      <c r="B134" s="1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2:22">
      <c r="B135" s="1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2:22">
      <c r="B136" s="1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2:22">
      <c r="B137" s="17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2:22">
      <c r="B138" s="1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2:22">
      <c r="B139" s="17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2:22">
      <c r="B140" s="1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2:22">
      <c r="B141" s="17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2:22">
      <c r="B142" s="1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2:22">
      <c r="B143" s="17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2:22">
      <c r="B144" s="1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2:22">
      <c r="B145" s="17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2:22">
      <c r="B146" s="1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2:22">
      <c r="B147" s="17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2:22">
      <c r="B148" s="1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2:22">
      <c r="B149" s="17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2:22">
      <c r="B150" s="1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2:22">
      <c r="B151" s="1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2:22">
      <c r="B152" s="1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2:22">
      <c r="B153" s="17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2:22">
      <c r="B154" s="1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2:22">
      <c r="B155" s="17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2:22">
      <c r="B156" s="17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2:22">
      <c r="B157" s="17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2:22">
      <c r="B158" s="1"/>
    </row>
    <row r="159" spans="2:22">
      <c r="B159" s="1"/>
    </row>
    <row r="160" spans="2:2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</sheetData>
  <mergeCells count="3">
    <mergeCell ref="B3:U8"/>
    <mergeCell ref="B10:U22"/>
    <mergeCell ref="B27:B30"/>
  </mergeCells>
  <phoneticPr fontId="0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W190"/>
  <sheetViews>
    <sheetView workbookViewId="0">
      <selection activeCell="B24" sqref="B24"/>
    </sheetView>
  </sheetViews>
  <sheetFormatPr defaultColWidth="9.140625" defaultRowHeight="15"/>
  <cols>
    <col min="1" max="1" width="9.140625" customWidth="1"/>
    <col min="2" max="2" width="7.28515625" customWidth="1"/>
    <col min="3" max="3" width="8.42578125" customWidth="1"/>
    <col min="4" max="4" width="9" customWidth="1"/>
    <col min="5" max="5" width="8.28515625" customWidth="1"/>
    <col min="6" max="6" width="7.42578125" customWidth="1"/>
    <col min="7" max="7" width="9.28515625" customWidth="1"/>
    <col min="8" max="8" width="7" bestFit="1" customWidth="1"/>
    <col min="9" max="9" width="13.28515625" bestFit="1" customWidth="1"/>
    <col min="10" max="10" width="10.85546875" bestFit="1" customWidth="1"/>
    <col min="11" max="11" width="4.42578125" customWidth="1"/>
    <col min="12" max="12" width="11.28515625" bestFit="1" customWidth="1"/>
    <col min="13" max="13" width="10.85546875" bestFit="1" customWidth="1"/>
    <col min="14" max="14" width="9.140625" customWidth="1"/>
    <col min="15" max="15" width="7.85546875" customWidth="1"/>
    <col min="16" max="16" width="7.7109375" customWidth="1"/>
    <col min="17" max="17" width="8.28515625" customWidth="1"/>
    <col min="18" max="18" width="9" bestFit="1" customWidth="1"/>
    <col min="19" max="20" width="10" bestFit="1" customWidth="1"/>
    <col min="21" max="21" width="5.28515625" customWidth="1"/>
  </cols>
  <sheetData>
    <row r="2" spans="2:23" ht="15.75" thickBot="1">
      <c r="B2" s="43" t="s">
        <v>18</v>
      </c>
    </row>
    <row r="3" spans="2:23" ht="15.75" thickTop="1">
      <c r="B3" s="69" t="s">
        <v>1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2:23">
      <c r="B4" s="72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4"/>
    </row>
    <row r="5" spans="2:23">
      <c r="B5" s="72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4"/>
    </row>
    <row r="6" spans="2:23">
      <c r="B6" s="72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4"/>
    </row>
    <row r="7" spans="2:23">
      <c r="B7" s="72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4"/>
    </row>
    <row r="8" spans="2:23" ht="15.75" thickBot="1">
      <c r="B8" s="75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7"/>
    </row>
    <row r="9" spans="2:23" ht="16.5" thickTop="1" thickBot="1">
      <c r="B9" s="43" t="s">
        <v>21</v>
      </c>
    </row>
    <row r="10" spans="2:23" ht="14.45" customHeight="1" thickTop="1">
      <c r="B10" s="60" t="s">
        <v>0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2"/>
    </row>
    <row r="11" spans="2:23">
      <c r="B11" s="63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5"/>
      <c r="W11" s="39"/>
    </row>
    <row r="12" spans="2:23">
      <c r="B12" s="63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5"/>
    </row>
    <row r="13" spans="2:23">
      <c r="B13" s="63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5"/>
    </row>
    <row r="14" spans="2:23">
      <c r="B14" s="63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5"/>
    </row>
    <row r="15" spans="2:23">
      <c r="B15" s="63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2:23">
      <c r="B16" s="63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5"/>
      <c r="W16" s="39"/>
    </row>
    <row r="17" spans="2:23">
      <c r="B17" s="63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5"/>
    </row>
    <row r="18" spans="2:23">
      <c r="B18" s="63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5"/>
    </row>
    <row r="19" spans="2:23">
      <c r="B19" s="63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5"/>
    </row>
    <row r="20" spans="2:23">
      <c r="B20" s="63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5"/>
    </row>
    <row r="21" spans="2:23">
      <c r="B21" s="63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5"/>
    </row>
    <row r="22" spans="2:23" ht="15.75" thickBot="1">
      <c r="B22" s="66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8"/>
    </row>
    <row r="23" spans="2:23" ht="15.75" thickTop="1"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</row>
    <row r="24" spans="2:23"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</row>
    <row r="25" spans="2:23" ht="15.75" thickBo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2:23" ht="16.5" thickTop="1" thickBot="1">
      <c r="B26" s="10"/>
      <c r="C26" s="6" t="s">
        <v>2</v>
      </c>
      <c r="D26" s="28">
        <v>1</v>
      </c>
      <c r="E26" s="28">
        <v>2</v>
      </c>
      <c r="F26" s="28">
        <v>3</v>
      </c>
      <c r="G26" s="29">
        <v>4</v>
      </c>
      <c r="H26" s="29">
        <v>5</v>
      </c>
      <c r="I26" s="29">
        <v>6</v>
      </c>
      <c r="J26" s="30">
        <v>7</v>
      </c>
      <c r="K26" s="4"/>
      <c r="L26" s="11" t="s">
        <v>2</v>
      </c>
      <c r="M26" s="12">
        <v>1</v>
      </c>
      <c r="N26" s="12">
        <v>2</v>
      </c>
      <c r="O26" s="12">
        <v>3</v>
      </c>
      <c r="P26" s="12">
        <v>4</v>
      </c>
      <c r="Q26" s="12">
        <v>5</v>
      </c>
      <c r="R26" s="12">
        <v>6</v>
      </c>
      <c r="S26" s="12">
        <v>7</v>
      </c>
      <c r="T26" s="13" t="s">
        <v>5</v>
      </c>
      <c r="U26" s="4"/>
      <c r="V26" s="4"/>
    </row>
    <row r="27" spans="2:23" ht="16.5" thickTop="1" thickBot="1">
      <c r="B27" s="58" t="s">
        <v>3</v>
      </c>
      <c r="C27" s="18" t="s">
        <v>6</v>
      </c>
      <c r="D27" s="7">
        <v>1</v>
      </c>
      <c r="E27" s="7">
        <f t="shared" ref="E27:J30" si="0">$D27*16^(E$26-1)</f>
        <v>16</v>
      </c>
      <c r="F27" s="7">
        <f t="shared" si="0"/>
        <v>256</v>
      </c>
      <c r="G27" s="7">
        <f t="shared" si="0"/>
        <v>4096</v>
      </c>
      <c r="H27" s="7">
        <f t="shared" si="0"/>
        <v>65536</v>
      </c>
      <c r="I27" s="7">
        <f t="shared" si="0"/>
        <v>1048576</v>
      </c>
      <c r="J27" s="31">
        <f t="shared" si="0"/>
        <v>16777216</v>
      </c>
      <c r="K27" s="4"/>
      <c r="L27" s="14" t="s">
        <v>11</v>
      </c>
      <c r="M27" s="23" t="s">
        <v>6</v>
      </c>
      <c r="N27" s="23" t="s">
        <v>6</v>
      </c>
      <c r="O27" s="23" t="s">
        <v>6</v>
      </c>
      <c r="P27" s="23" t="s">
        <v>6</v>
      </c>
      <c r="Q27" s="23" t="s">
        <v>6</v>
      </c>
      <c r="R27" s="23" t="s">
        <v>6</v>
      </c>
      <c r="S27" s="23" t="s">
        <v>6</v>
      </c>
      <c r="T27" s="24"/>
      <c r="U27" s="4"/>
      <c r="V27" s="4"/>
    </row>
    <row r="28" spans="2:23" ht="15.75" thickBot="1">
      <c r="B28" s="58"/>
      <c r="C28" s="18" t="s">
        <v>7</v>
      </c>
      <c r="D28" s="7">
        <v>2</v>
      </c>
      <c r="E28" s="7">
        <f t="shared" si="0"/>
        <v>32</v>
      </c>
      <c r="F28" s="7">
        <f t="shared" si="0"/>
        <v>512</v>
      </c>
      <c r="G28" s="7">
        <f t="shared" si="0"/>
        <v>8192</v>
      </c>
      <c r="H28" s="7">
        <f t="shared" si="0"/>
        <v>131072</v>
      </c>
      <c r="I28" s="7">
        <f t="shared" si="0"/>
        <v>2097152</v>
      </c>
      <c r="J28" s="31">
        <f t="shared" si="0"/>
        <v>33554432</v>
      </c>
      <c r="K28" s="4"/>
      <c r="L28" s="15" t="s">
        <v>4</v>
      </c>
      <c r="M28" s="34">
        <f>IF(M27="","",INDEX($C$27:$D$30,MATCH(M27,$C$27:$C$30,0),2)*16^(M$26-1))</f>
        <v>1</v>
      </c>
      <c r="N28" s="34">
        <f t="shared" ref="N28:S28" si="1">IF(N27="","",INDEX($C$27:$D$30,MATCH(N27,$C$27:$C$30,0),2)*16^(N$26-1))</f>
        <v>16</v>
      </c>
      <c r="O28" s="34">
        <f t="shared" si="1"/>
        <v>256</v>
      </c>
      <c r="P28" s="34">
        <f t="shared" si="1"/>
        <v>4096</v>
      </c>
      <c r="Q28" s="34">
        <f t="shared" si="1"/>
        <v>65536</v>
      </c>
      <c r="R28" s="34">
        <f t="shared" si="1"/>
        <v>1048576</v>
      </c>
      <c r="S28" s="34">
        <f t="shared" si="1"/>
        <v>16777216</v>
      </c>
      <c r="T28" s="35">
        <f>SUM(M28:S28)</f>
        <v>17895697</v>
      </c>
      <c r="U28" s="4"/>
      <c r="V28" s="4"/>
      <c r="W28" s="39"/>
    </row>
    <row r="29" spans="2:23" ht="16.5" thickTop="1" thickBot="1">
      <c r="B29" s="58"/>
      <c r="C29" s="18" t="s">
        <v>8</v>
      </c>
      <c r="D29" s="8">
        <v>12</v>
      </c>
      <c r="E29" s="7">
        <f t="shared" si="0"/>
        <v>192</v>
      </c>
      <c r="F29" s="7">
        <f t="shared" si="0"/>
        <v>3072</v>
      </c>
      <c r="G29" s="7">
        <f t="shared" si="0"/>
        <v>49152</v>
      </c>
      <c r="H29" s="7">
        <f t="shared" si="0"/>
        <v>786432</v>
      </c>
      <c r="I29" s="7">
        <f t="shared" si="0"/>
        <v>12582912</v>
      </c>
      <c r="J29" s="31">
        <f>$D29*16^(J$26-1)</f>
        <v>201326592</v>
      </c>
      <c r="K29" s="4"/>
      <c r="L29" s="21" t="s">
        <v>10</v>
      </c>
      <c r="M29" s="25"/>
      <c r="N29" s="26"/>
      <c r="O29" s="26"/>
      <c r="P29" s="26"/>
      <c r="Q29" s="26"/>
      <c r="R29" s="26"/>
      <c r="S29" s="26"/>
      <c r="T29" s="27"/>
      <c r="U29" s="4"/>
      <c r="V29" s="4"/>
    </row>
    <row r="30" spans="2:23" ht="15.75" thickBot="1">
      <c r="B30" s="59"/>
      <c r="C30" s="19" t="s">
        <v>9</v>
      </c>
      <c r="D30" s="9">
        <v>4</v>
      </c>
      <c r="E30" s="32">
        <f t="shared" si="0"/>
        <v>64</v>
      </c>
      <c r="F30" s="32">
        <f t="shared" si="0"/>
        <v>1024</v>
      </c>
      <c r="G30" s="32">
        <f t="shared" si="0"/>
        <v>16384</v>
      </c>
      <c r="H30" s="32">
        <f t="shared" si="0"/>
        <v>262144</v>
      </c>
      <c r="I30" s="32">
        <f t="shared" si="0"/>
        <v>4194304</v>
      </c>
      <c r="J30" s="33">
        <f t="shared" si="0"/>
        <v>67108864</v>
      </c>
      <c r="K30" s="4"/>
      <c r="L30" s="22" t="s">
        <v>4</v>
      </c>
      <c r="M30" s="34" t="str">
        <f>IF(M29="","",INDEX($C$27:$D$30,MATCH(M29,$C$27:$C$30,0),2)*16^(M$26-1))</f>
        <v/>
      </c>
      <c r="N30" s="34" t="str">
        <f t="shared" ref="N30:S30" si="2">IF(N29="","",INDEX($C$27:$D$30,MATCH(N29,$C$27:$C$30,0),2)*16^(N$26-1))</f>
        <v/>
      </c>
      <c r="O30" s="34" t="str">
        <f t="shared" si="2"/>
        <v/>
      </c>
      <c r="P30" s="34" t="str">
        <f t="shared" si="2"/>
        <v/>
      </c>
      <c r="Q30" s="34" t="str">
        <f t="shared" si="2"/>
        <v/>
      </c>
      <c r="R30" s="34" t="str">
        <f>IF(R29="","",INDEX($C$27:$D$30,MATCH(R29,$C$27:$C$30,0),2)*16^(R$26-1))</f>
        <v/>
      </c>
      <c r="S30" s="52" t="str">
        <f t="shared" si="2"/>
        <v/>
      </c>
      <c r="T30" s="53">
        <f>SUM(M30:S30)</f>
        <v>0</v>
      </c>
      <c r="U30" s="4"/>
      <c r="V30" s="4"/>
    </row>
    <row r="31" spans="2:23" ht="16.5" thickTop="1" thickBot="1">
      <c r="B31" s="3"/>
      <c r="C31" s="20"/>
      <c r="D31" s="5"/>
      <c r="E31" s="5"/>
      <c r="F31" s="5"/>
      <c r="G31" s="5"/>
      <c r="H31" s="5"/>
      <c r="I31" s="5"/>
      <c r="J31" s="5"/>
      <c r="K31" s="4"/>
      <c r="L31" s="4"/>
      <c r="M31" s="4"/>
      <c r="N31" s="4"/>
      <c r="O31" s="4"/>
      <c r="P31" s="4"/>
      <c r="Q31" s="4"/>
      <c r="R31" s="4"/>
      <c r="S31" s="54" t="s">
        <v>17</v>
      </c>
      <c r="T31" s="56">
        <f>$T$28+$T$30</f>
        <v>17895697</v>
      </c>
      <c r="U31" s="4"/>
      <c r="V31" s="4"/>
    </row>
    <row r="32" spans="2:23" ht="15.75" thickTop="1">
      <c r="B32" s="3"/>
      <c r="E32" s="3"/>
      <c r="F32" s="3"/>
      <c r="G32" s="3"/>
      <c r="H32" s="3"/>
      <c r="I32" s="3"/>
      <c r="J32" s="3"/>
      <c r="K32" s="4"/>
      <c r="L32" s="51" t="s">
        <v>12</v>
      </c>
      <c r="M32" s="44" t="s">
        <v>6</v>
      </c>
      <c r="N32" s="44" t="s">
        <v>7</v>
      </c>
      <c r="O32" s="45" t="s">
        <v>8</v>
      </c>
      <c r="P32" s="46" t="s">
        <v>9</v>
      </c>
      <c r="Q32" s="4"/>
      <c r="R32" s="4"/>
      <c r="S32" s="4"/>
      <c r="T32" s="4"/>
      <c r="U32" s="4"/>
      <c r="V32" s="4"/>
    </row>
    <row r="33" spans="2:22" ht="15.75" thickBot="1">
      <c r="B33" s="3"/>
      <c r="E33" s="3"/>
      <c r="F33" s="3"/>
      <c r="G33" s="3"/>
      <c r="H33" s="3"/>
      <c r="I33" s="3"/>
      <c r="J33" s="3"/>
      <c r="K33" s="4"/>
      <c r="L33" s="47"/>
      <c r="M33" s="48" t="s">
        <v>13</v>
      </c>
      <c r="N33" s="48" t="s">
        <v>14</v>
      </c>
      <c r="O33" s="49" t="s">
        <v>15</v>
      </c>
      <c r="P33" s="50" t="s">
        <v>16</v>
      </c>
      <c r="Q33" s="4"/>
      <c r="R33" s="4"/>
      <c r="S33" s="36"/>
      <c r="T33" s="4"/>
      <c r="U33" s="4"/>
      <c r="V33" s="4"/>
    </row>
    <row r="34" spans="2:22" ht="15.75" thickTop="1">
      <c r="B34" s="3"/>
      <c r="E34" s="3"/>
      <c r="F34" s="3"/>
      <c r="G34" s="38"/>
      <c r="H34" s="3"/>
      <c r="I34" s="3"/>
      <c r="J34" s="3"/>
      <c r="K34" s="4"/>
      <c r="L34" s="4"/>
      <c r="M34" s="42"/>
      <c r="O34" s="4"/>
      <c r="P34" s="4"/>
      <c r="Q34" s="4"/>
      <c r="R34" s="4"/>
      <c r="S34" s="4"/>
      <c r="T34" s="4"/>
      <c r="U34" s="4"/>
      <c r="V34" s="4"/>
    </row>
    <row r="35" spans="2:22">
      <c r="B35" s="3"/>
      <c r="E35" s="3"/>
      <c r="F35" s="3"/>
      <c r="G35" s="3"/>
      <c r="H35" s="3"/>
      <c r="I35" s="3"/>
      <c r="J35" s="3"/>
      <c r="K35" s="4"/>
      <c r="L35" s="4"/>
      <c r="M35" s="42"/>
      <c r="O35" s="4"/>
      <c r="P35" s="4"/>
      <c r="Q35" s="4"/>
      <c r="R35" s="4"/>
      <c r="S35" s="4"/>
      <c r="T35" s="4"/>
      <c r="U35" s="4"/>
      <c r="V35" s="4"/>
    </row>
    <row r="36" spans="2:22" ht="18.75">
      <c r="B36" s="3"/>
      <c r="C36" s="41"/>
      <c r="E36" s="3"/>
      <c r="F36" s="3"/>
      <c r="G36" s="3"/>
      <c r="H36" s="3"/>
      <c r="J36" s="3"/>
      <c r="K36" s="4"/>
      <c r="L36" s="4"/>
      <c r="N36" s="38"/>
      <c r="O36" s="4"/>
      <c r="P36" s="4"/>
      <c r="Q36" s="4"/>
      <c r="R36" s="4"/>
      <c r="S36" s="4"/>
      <c r="T36" s="4"/>
      <c r="U36" s="4"/>
      <c r="V36" s="4"/>
    </row>
    <row r="37" spans="2:22">
      <c r="B37" s="3"/>
      <c r="E37" s="3"/>
      <c r="F37" s="3"/>
      <c r="G37" s="3"/>
      <c r="H37" s="3"/>
      <c r="I37" s="37"/>
      <c r="J37" s="38"/>
      <c r="K37" s="4"/>
      <c r="L37" s="37"/>
      <c r="M37" s="36"/>
      <c r="O37" s="4"/>
      <c r="P37" s="4"/>
      <c r="Q37" s="4"/>
      <c r="R37" s="4"/>
      <c r="S37" s="4"/>
      <c r="T37" s="4"/>
      <c r="U37" s="4"/>
      <c r="V37" s="4"/>
    </row>
    <row r="38" spans="2:22">
      <c r="B38" s="3"/>
      <c r="E38" s="3"/>
      <c r="F38" s="3"/>
      <c r="G38" s="3"/>
      <c r="H38" s="3"/>
      <c r="I38" s="37"/>
      <c r="J38" s="38"/>
      <c r="K38" s="4"/>
      <c r="L38" s="37"/>
      <c r="M38" s="38"/>
      <c r="O38" s="4"/>
      <c r="P38" s="4"/>
      <c r="Q38" s="4"/>
      <c r="R38" s="4"/>
      <c r="S38" s="4"/>
      <c r="T38" s="4"/>
      <c r="U38" s="4"/>
      <c r="V38" s="4"/>
    </row>
    <row r="39" spans="2:22">
      <c r="B39" s="3"/>
      <c r="E39" s="3"/>
      <c r="F39" s="3"/>
      <c r="G39" s="3"/>
      <c r="H39" s="3"/>
      <c r="I39" s="37"/>
      <c r="J39" s="38"/>
      <c r="K39" s="4"/>
      <c r="L39" s="37"/>
      <c r="M39" s="40"/>
      <c r="O39" s="4"/>
      <c r="P39" s="4"/>
      <c r="Q39" s="4"/>
      <c r="R39" s="4"/>
      <c r="S39" s="4"/>
      <c r="T39" s="4"/>
      <c r="U39" s="4"/>
      <c r="V39" s="4"/>
    </row>
    <row r="40" spans="2:22">
      <c r="B40" s="3"/>
      <c r="E40" s="3"/>
      <c r="F40" s="3"/>
      <c r="G40" s="3"/>
      <c r="H40" s="3"/>
      <c r="I40" s="37"/>
      <c r="J40" s="38"/>
      <c r="K40" s="4"/>
      <c r="L40" s="37"/>
      <c r="M40" s="40"/>
      <c r="N40" s="3"/>
      <c r="O40" s="4"/>
      <c r="P40" s="4"/>
      <c r="Q40" s="4"/>
      <c r="R40" s="4"/>
      <c r="S40" s="4"/>
      <c r="T40" s="4"/>
      <c r="U40" s="4"/>
      <c r="V40" s="4"/>
    </row>
    <row r="41" spans="2:22">
      <c r="B41" s="3"/>
      <c r="C41" s="3"/>
      <c r="D41" s="3"/>
      <c r="E41" s="3"/>
      <c r="F41" s="3"/>
      <c r="G41" s="3"/>
      <c r="H41" s="3"/>
      <c r="I41" s="3"/>
      <c r="J41" s="3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2:22">
      <c r="B42" s="3"/>
      <c r="C42" s="3"/>
      <c r="D42" s="3"/>
      <c r="E42" s="3"/>
      <c r="F42" s="3"/>
      <c r="G42" s="3"/>
      <c r="H42" s="3"/>
      <c r="I42" s="3"/>
      <c r="J42" s="3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2:22">
      <c r="B43" s="3"/>
      <c r="C43" s="3"/>
      <c r="D43" s="3"/>
      <c r="E43" s="3"/>
      <c r="F43" s="3"/>
      <c r="G43" s="3"/>
      <c r="H43" s="3"/>
      <c r="I43" s="3"/>
      <c r="J43" s="3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2:22">
      <c r="B44" s="3"/>
      <c r="C44" s="3"/>
      <c r="D44" s="3"/>
      <c r="E44" s="3"/>
      <c r="F44" s="3"/>
      <c r="G44" s="3"/>
      <c r="H44" s="3"/>
      <c r="I44" s="3"/>
      <c r="J44" s="3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2:22">
      <c r="B45" s="3"/>
      <c r="C45" s="3"/>
      <c r="D45" s="3"/>
      <c r="E45" s="3"/>
      <c r="F45" s="3"/>
      <c r="G45" s="3"/>
      <c r="H45" s="3"/>
      <c r="I45" s="3"/>
      <c r="J45" s="3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2:22">
      <c r="B46" s="3"/>
      <c r="C46" s="3"/>
      <c r="D46" s="3"/>
      <c r="E46" s="3"/>
      <c r="F46" s="3"/>
      <c r="G46" s="3"/>
      <c r="H46" s="3"/>
      <c r="I46" s="3"/>
      <c r="J46" s="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2:22">
      <c r="B47" s="3"/>
      <c r="C47" s="3"/>
      <c r="D47" s="3"/>
      <c r="E47" s="3"/>
      <c r="F47" s="3"/>
      <c r="G47" s="3"/>
      <c r="H47" s="3"/>
      <c r="I47" s="3"/>
      <c r="J47" s="3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2:22">
      <c r="B48" s="3"/>
      <c r="C48" s="3"/>
      <c r="D48" s="3"/>
      <c r="E48" s="3"/>
      <c r="F48" s="3"/>
      <c r="G48" s="3"/>
      <c r="H48" s="3"/>
      <c r="I48" s="3"/>
      <c r="J48" s="3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2:22">
      <c r="B49" s="3"/>
      <c r="C49" s="3"/>
      <c r="D49" s="3"/>
      <c r="E49" s="3"/>
      <c r="F49" s="3"/>
      <c r="G49" s="3"/>
      <c r="H49" s="3"/>
      <c r="I49" s="3"/>
      <c r="J49" s="3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2:22">
      <c r="B50" s="3"/>
      <c r="C50" s="3"/>
      <c r="D50" s="3"/>
      <c r="E50" s="3"/>
      <c r="F50" s="3"/>
      <c r="G50" s="3"/>
      <c r="H50" s="3"/>
      <c r="I50" s="3"/>
      <c r="J50" s="3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2:22">
      <c r="B51" s="3"/>
      <c r="C51" s="3"/>
      <c r="D51" s="3"/>
      <c r="E51" s="3"/>
      <c r="F51" s="3"/>
      <c r="G51" s="3"/>
      <c r="H51" s="3"/>
      <c r="I51" s="3"/>
      <c r="J51" s="3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2:22">
      <c r="B52" s="3"/>
      <c r="C52" s="3"/>
      <c r="D52" s="3"/>
      <c r="E52" s="3"/>
      <c r="F52" s="3"/>
      <c r="G52" s="3"/>
      <c r="H52" s="3"/>
      <c r="I52" s="3"/>
      <c r="J52" s="3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2:22">
      <c r="B53" s="3"/>
      <c r="C53" s="3"/>
      <c r="D53" s="3"/>
      <c r="E53" s="3"/>
      <c r="F53" s="3"/>
      <c r="G53" s="3"/>
      <c r="H53" s="3"/>
      <c r="I53" s="3"/>
      <c r="J53" s="3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2:22">
      <c r="B54" s="3"/>
      <c r="C54" s="3"/>
      <c r="D54" s="3"/>
      <c r="E54" s="3"/>
      <c r="F54" s="3"/>
      <c r="G54" s="3"/>
      <c r="H54" s="3"/>
      <c r="I54" s="3"/>
      <c r="J54" s="3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2:22">
      <c r="B55" s="3"/>
      <c r="C55" s="3"/>
      <c r="D55" s="3"/>
      <c r="E55" s="3"/>
      <c r="F55" s="3"/>
      <c r="G55" s="3"/>
      <c r="H55" s="3"/>
      <c r="I55" s="3"/>
      <c r="J55" s="3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2:22">
      <c r="B56" s="3"/>
      <c r="C56" s="3"/>
      <c r="D56" s="3"/>
      <c r="E56" s="3"/>
      <c r="F56" s="3"/>
      <c r="G56" s="3"/>
      <c r="H56" s="3"/>
      <c r="I56" s="3"/>
      <c r="J56" s="3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2:22">
      <c r="B57" s="3"/>
      <c r="C57" s="3"/>
      <c r="D57" s="3"/>
      <c r="E57" s="3"/>
      <c r="F57" s="3"/>
      <c r="G57" s="3"/>
      <c r="H57" s="3"/>
      <c r="I57" s="3"/>
      <c r="J57" s="3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2:22">
      <c r="B58" s="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2:22">
      <c r="B59" s="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2:22">
      <c r="B60" s="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2:22">
      <c r="B61" s="2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2:22">
      <c r="B62" s="2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2:22">
      <c r="B63" s="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2:22">
      <c r="B64" s="2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2:22">
      <c r="B65" s="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2:22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2:22">
      <c r="B67" s="16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2:22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2:22">
      <c r="B69" s="17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2:22">
      <c r="B70" s="17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2:22">
      <c r="B71" s="17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2:22">
      <c r="B72" s="17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2:22">
      <c r="B73" s="17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2:22">
      <c r="B74" s="17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2:22">
      <c r="B75" s="17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2:22">
      <c r="B76" s="17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2:22">
      <c r="B77" s="17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2:22">
      <c r="B78" s="17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2:22">
      <c r="B79" s="17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2:22">
      <c r="B80" s="17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2:22">
      <c r="B81" s="17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2:22">
      <c r="B82" s="17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2:22">
      <c r="B83" s="17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2:22">
      <c r="B84" s="17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2:22">
      <c r="B85" s="17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2:22">
      <c r="B86" s="17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2:22">
      <c r="B87" s="17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2:22">
      <c r="B88" s="17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2:22">
      <c r="B89" s="17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2:22">
      <c r="B90" s="17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2:22">
      <c r="B91" s="17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2:22">
      <c r="B92" s="17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2:22">
      <c r="B93" s="17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2:22">
      <c r="B94" s="17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2:22">
      <c r="B95" s="17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2:22">
      <c r="B96" s="17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2:22">
      <c r="B97" s="17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2:22">
      <c r="B98" s="17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2:22">
      <c r="B99" s="17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2:22">
      <c r="B100" s="17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2:22">
      <c r="B101" s="17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2:22">
      <c r="B102" s="17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2:22">
      <c r="B103" s="17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2:22">
      <c r="B104" s="17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2:22">
      <c r="B105" s="17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2:22">
      <c r="B106" s="17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2:22">
      <c r="B107" s="17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2:22">
      <c r="B108" s="17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2:22">
      <c r="B109" s="17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2:22">
      <c r="B110" s="17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2:22">
      <c r="B111" s="17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2:22">
      <c r="B112" s="1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2:22">
      <c r="B113" s="1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2:22">
      <c r="B114" s="1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2:22">
      <c r="B115" s="17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2:22">
      <c r="B116" s="1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2:22">
      <c r="B117" s="17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2:22">
      <c r="B118" s="1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2:22">
      <c r="B119" s="17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2:22">
      <c r="B120" s="1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2:22">
      <c r="B121" s="17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2:22">
      <c r="B122" s="1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2:22">
      <c r="B123" s="1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2:22">
      <c r="B124" s="1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2:22">
      <c r="B125" s="17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2:22">
      <c r="B126" s="1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2:22">
      <c r="B127" s="1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2:22">
      <c r="B128" s="1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2:22">
      <c r="B129" s="1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2:22">
      <c r="B130" s="1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2:22">
      <c r="B131" s="17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2:22">
      <c r="B132" s="1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2:22">
      <c r="B133" s="17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2:22">
      <c r="B134" s="1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2:22">
      <c r="B135" s="1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2:22">
      <c r="B136" s="1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2:22">
      <c r="B137" s="17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2:22">
      <c r="B138" s="1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2:22">
      <c r="B139" s="17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2:22">
      <c r="B140" s="1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2:22">
      <c r="B141" s="17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2:22">
      <c r="B142" s="1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2:22">
      <c r="B143" s="17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2:22">
      <c r="B144" s="1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2:22">
      <c r="B145" s="17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2:22">
      <c r="B146" s="1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2:22">
      <c r="B147" s="17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2:22">
      <c r="B148" s="1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2:22">
      <c r="B149" s="17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2:22">
      <c r="B150" s="1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2:22">
      <c r="B151" s="1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2:22">
      <c r="B152" s="1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2:22">
      <c r="B153" s="17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2:22">
      <c r="B154" s="1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2:22">
      <c r="B155" s="17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2:22">
      <c r="B156" s="17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2:22">
      <c r="B157" s="17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2:22">
      <c r="B158" s="1"/>
    </row>
    <row r="159" spans="2:22">
      <c r="B159" s="1"/>
    </row>
    <row r="160" spans="2:2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</sheetData>
  <mergeCells count="3">
    <mergeCell ref="B3:U8"/>
    <mergeCell ref="B10:U22"/>
    <mergeCell ref="B27:B30"/>
  </mergeCells>
  <phoneticPr fontId="0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77-0</vt:lpstr>
      <vt:lpstr>95-2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Purdue</dc:creator>
  <cp:lastModifiedBy>Eduardo L</cp:lastModifiedBy>
  <dcterms:created xsi:type="dcterms:W3CDTF">2013-12-24T16:25:49Z</dcterms:created>
  <dcterms:modified xsi:type="dcterms:W3CDTF">2016-07-19T23:36:25Z</dcterms:modified>
</cp:coreProperties>
</file>